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AREA ADMINISTRATIVA\DAVID\Eina visor QUALITAT AIGUA\visorQAIGUA\v5\data\"/>
    </mc:Choice>
  </mc:AlternateContent>
  <xr:revisionPtr revIDLastSave="0" documentId="8_{D0E0ACC9-C773-4408-858A-10F4A6CF353F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Plantilla" sheetId="2" r:id="rId1"/>
    <sheet name="resultats 15042026" sheetId="3" r:id="rId2"/>
    <sheet name="Catalogo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E3" i="3" l="1"/>
  <c r="G137" i="3"/>
  <c r="E137" i="3"/>
  <c r="D137" i="3"/>
  <c r="C137" i="3"/>
  <c r="B137" i="3"/>
  <c r="A137" i="3"/>
  <c r="G136" i="3"/>
  <c r="E136" i="3"/>
  <c r="D136" i="3"/>
  <c r="C136" i="3"/>
  <c r="B136" i="3"/>
  <c r="A136" i="3"/>
  <c r="G135" i="3"/>
  <c r="E135" i="3"/>
  <c r="D135" i="3"/>
  <c r="C135" i="3"/>
  <c r="B135" i="3"/>
  <c r="A135" i="3"/>
  <c r="G134" i="3"/>
  <c r="E134" i="3"/>
  <c r="D134" i="3"/>
  <c r="C134" i="3"/>
  <c r="B134" i="3"/>
  <c r="A134" i="3"/>
  <c r="G133" i="3"/>
  <c r="E133" i="3"/>
  <c r="D133" i="3"/>
  <c r="C133" i="3"/>
  <c r="B133" i="3"/>
  <c r="A133" i="3"/>
  <c r="G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E130" i="3"/>
  <c r="D130" i="3"/>
  <c r="C130" i="3"/>
  <c r="B130" i="3"/>
  <c r="A130" i="3"/>
  <c r="E129" i="3"/>
  <c r="D129" i="3"/>
  <c r="C129" i="3"/>
  <c r="B129" i="3"/>
  <c r="A129" i="3"/>
  <c r="G128" i="3"/>
  <c r="E128" i="3"/>
  <c r="D128" i="3"/>
  <c r="C128" i="3"/>
  <c r="B128" i="3"/>
  <c r="A128" i="3"/>
  <c r="G127" i="3"/>
  <c r="E127" i="3"/>
  <c r="D127" i="3"/>
  <c r="C127" i="3"/>
  <c r="B127" i="3"/>
  <c r="A127" i="3"/>
  <c r="G126" i="3"/>
  <c r="E126" i="3"/>
  <c r="D126" i="3"/>
  <c r="C126" i="3"/>
  <c r="B126" i="3"/>
  <c r="A126" i="3"/>
  <c r="G125" i="3"/>
  <c r="E125" i="3"/>
  <c r="D125" i="3"/>
  <c r="C125" i="3"/>
  <c r="B125" i="3"/>
  <c r="A125" i="3"/>
  <c r="G124" i="3"/>
  <c r="E124" i="3"/>
  <c r="D124" i="3"/>
  <c r="C124" i="3"/>
  <c r="B124" i="3"/>
  <c r="A124" i="3"/>
  <c r="G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E121" i="3"/>
  <c r="D121" i="3"/>
  <c r="C121" i="3"/>
  <c r="B121" i="3"/>
  <c r="A121" i="3"/>
  <c r="E120" i="3"/>
  <c r="D120" i="3"/>
  <c r="C120" i="3"/>
  <c r="B120" i="3"/>
  <c r="A120" i="3"/>
  <c r="G119" i="3"/>
  <c r="E119" i="3"/>
  <c r="D119" i="3"/>
  <c r="C119" i="3"/>
  <c r="B119" i="3"/>
  <c r="A119" i="3"/>
  <c r="G118" i="3"/>
  <c r="E118" i="3"/>
  <c r="D118" i="3"/>
  <c r="C118" i="3"/>
  <c r="B118" i="3"/>
  <c r="A118" i="3"/>
  <c r="G117" i="3"/>
  <c r="E117" i="3"/>
  <c r="D117" i="3"/>
  <c r="C117" i="3"/>
  <c r="B117" i="3"/>
  <c r="A117" i="3"/>
  <c r="G116" i="3"/>
  <c r="E116" i="3"/>
  <c r="D116" i="3"/>
  <c r="C116" i="3"/>
  <c r="B116" i="3"/>
  <c r="A116" i="3"/>
  <c r="G115" i="3"/>
  <c r="E115" i="3"/>
  <c r="D115" i="3"/>
  <c r="C115" i="3"/>
  <c r="B115" i="3"/>
  <c r="A115" i="3"/>
  <c r="G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E112" i="3"/>
  <c r="D112" i="3"/>
  <c r="C112" i="3"/>
  <c r="B112" i="3"/>
  <c r="A112" i="3"/>
  <c r="E111" i="3"/>
  <c r="D111" i="3"/>
  <c r="C111" i="3"/>
  <c r="B111" i="3"/>
  <c r="A111" i="3"/>
  <c r="G110" i="3"/>
  <c r="E110" i="3"/>
  <c r="D110" i="3"/>
  <c r="C110" i="3"/>
  <c r="B110" i="3"/>
  <c r="A110" i="3"/>
  <c r="G109" i="3"/>
  <c r="E109" i="3"/>
  <c r="D109" i="3"/>
  <c r="C109" i="3"/>
  <c r="B109" i="3"/>
  <c r="A109" i="3"/>
  <c r="G108" i="3"/>
  <c r="E108" i="3"/>
  <c r="D108" i="3"/>
  <c r="C108" i="3"/>
  <c r="B108" i="3"/>
  <c r="A108" i="3"/>
  <c r="G107" i="3"/>
  <c r="E107" i="3"/>
  <c r="D107" i="3"/>
  <c r="C107" i="3"/>
  <c r="B107" i="3"/>
  <c r="A107" i="3"/>
  <c r="G106" i="3"/>
  <c r="E106" i="3"/>
  <c r="D106" i="3"/>
  <c r="C106" i="3"/>
  <c r="B106" i="3"/>
  <c r="A106" i="3"/>
  <c r="G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E103" i="3"/>
  <c r="D103" i="3"/>
  <c r="C103" i="3"/>
  <c r="B103" i="3"/>
  <c r="A103" i="3"/>
  <c r="E102" i="3"/>
  <c r="D102" i="3"/>
  <c r="C102" i="3"/>
  <c r="B102" i="3"/>
  <c r="A102" i="3"/>
  <c r="G101" i="3"/>
  <c r="E101" i="3"/>
  <c r="D101" i="3"/>
  <c r="C101" i="3"/>
  <c r="B101" i="3"/>
  <c r="A101" i="3"/>
  <c r="G100" i="3"/>
  <c r="E100" i="3"/>
  <c r="D100" i="3"/>
  <c r="C100" i="3"/>
  <c r="B100" i="3"/>
  <c r="A100" i="3"/>
  <c r="G99" i="3"/>
  <c r="E99" i="3"/>
  <c r="D99" i="3"/>
  <c r="C99" i="3"/>
  <c r="B99" i="3"/>
  <c r="A99" i="3"/>
  <c r="G98" i="3"/>
  <c r="E98" i="3"/>
  <c r="D98" i="3"/>
  <c r="C98" i="3"/>
  <c r="B98" i="3"/>
  <c r="A98" i="3"/>
  <c r="G97" i="3"/>
  <c r="E97" i="3"/>
  <c r="D97" i="3"/>
  <c r="C97" i="3"/>
  <c r="B97" i="3"/>
  <c r="A97" i="3"/>
  <c r="G96" i="3"/>
  <c r="E96" i="3"/>
  <c r="D96" i="3"/>
  <c r="C96" i="3"/>
  <c r="B96" i="3"/>
  <c r="A96" i="3"/>
  <c r="G95" i="3"/>
  <c r="F95" i="3"/>
  <c r="E95" i="3"/>
  <c r="D95" i="3"/>
  <c r="C95" i="3"/>
  <c r="B95" i="3"/>
  <c r="A95" i="3"/>
  <c r="E94" i="3"/>
  <c r="D94" i="3"/>
  <c r="C94" i="3"/>
  <c r="B94" i="3"/>
  <c r="A94" i="3"/>
  <c r="E93" i="3"/>
  <c r="D93" i="3"/>
  <c r="C93" i="3"/>
  <c r="B93" i="3"/>
  <c r="A93" i="3"/>
  <c r="G92" i="3"/>
  <c r="E92" i="3"/>
  <c r="D92" i="3"/>
  <c r="C92" i="3"/>
  <c r="B92" i="3"/>
  <c r="A92" i="3"/>
  <c r="G91" i="3"/>
  <c r="E91" i="3"/>
  <c r="D91" i="3"/>
  <c r="C91" i="3"/>
  <c r="B91" i="3"/>
  <c r="A91" i="3"/>
  <c r="G90" i="3"/>
  <c r="E90" i="3"/>
  <c r="D90" i="3"/>
  <c r="C90" i="3"/>
  <c r="B90" i="3"/>
  <c r="A90" i="3"/>
  <c r="G89" i="3"/>
  <c r="E89" i="3"/>
  <c r="D89" i="3"/>
  <c r="C89" i="3"/>
  <c r="B89" i="3"/>
  <c r="A89" i="3"/>
  <c r="G88" i="3"/>
  <c r="E88" i="3"/>
  <c r="D88" i="3"/>
  <c r="C88" i="3"/>
  <c r="B88" i="3"/>
  <c r="A88" i="3"/>
  <c r="G87" i="3"/>
  <c r="E87" i="3"/>
  <c r="D87" i="3"/>
  <c r="C87" i="3"/>
  <c r="B87" i="3"/>
  <c r="A87" i="3"/>
  <c r="G86" i="3"/>
  <c r="F86" i="3"/>
  <c r="E86" i="3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G83" i="3"/>
  <c r="E83" i="3"/>
  <c r="D83" i="3"/>
  <c r="C83" i="3"/>
  <c r="B83" i="3"/>
  <c r="A83" i="3"/>
  <c r="G82" i="3"/>
  <c r="E82" i="3"/>
  <c r="D82" i="3"/>
  <c r="C82" i="3"/>
  <c r="B82" i="3"/>
  <c r="A82" i="3"/>
  <c r="G81" i="3"/>
  <c r="E81" i="3"/>
  <c r="D81" i="3"/>
  <c r="C81" i="3"/>
  <c r="B81" i="3"/>
  <c r="A81" i="3"/>
  <c r="G80" i="3"/>
  <c r="E80" i="3"/>
  <c r="D80" i="3"/>
  <c r="C80" i="3"/>
  <c r="B80" i="3"/>
  <c r="A80" i="3"/>
  <c r="G79" i="3"/>
  <c r="E79" i="3"/>
  <c r="D79" i="3"/>
  <c r="C79" i="3"/>
  <c r="B79" i="3"/>
  <c r="A79" i="3"/>
  <c r="G78" i="3"/>
  <c r="E78" i="3"/>
  <c r="D78" i="3"/>
  <c r="C78" i="3"/>
  <c r="B78" i="3"/>
  <c r="A78" i="3"/>
  <c r="G77" i="3"/>
  <c r="F77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G74" i="3"/>
  <c r="E74" i="3"/>
  <c r="D74" i="3"/>
  <c r="C74" i="3"/>
  <c r="B74" i="3"/>
  <c r="A74" i="3"/>
  <c r="G73" i="3"/>
  <c r="E73" i="3"/>
  <c r="D73" i="3"/>
  <c r="C73" i="3"/>
  <c r="B73" i="3"/>
  <c r="A73" i="3"/>
  <c r="G72" i="3"/>
  <c r="E72" i="3"/>
  <c r="D72" i="3"/>
  <c r="C72" i="3"/>
  <c r="B72" i="3"/>
  <c r="A72" i="3"/>
  <c r="G71" i="3"/>
  <c r="E71" i="3"/>
  <c r="D71" i="3"/>
  <c r="C71" i="3"/>
  <c r="B71" i="3"/>
  <c r="A71" i="3"/>
  <c r="G70" i="3"/>
  <c r="E70" i="3"/>
  <c r="D70" i="3"/>
  <c r="C70" i="3"/>
  <c r="B70" i="3"/>
  <c r="A70" i="3"/>
  <c r="G69" i="3"/>
  <c r="E69" i="3"/>
  <c r="D69" i="3"/>
  <c r="C69" i="3"/>
  <c r="B69" i="3"/>
  <c r="A69" i="3"/>
  <c r="G68" i="3"/>
  <c r="F68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G65" i="3"/>
  <c r="E65" i="3"/>
  <c r="D65" i="3"/>
  <c r="C65" i="3"/>
  <c r="B65" i="3"/>
  <c r="A65" i="3"/>
  <c r="G64" i="3"/>
  <c r="E64" i="3"/>
  <c r="D64" i="3"/>
  <c r="C64" i="3"/>
  <c r="B64" i="3"/>
  <c r="A64" i="3"/>
  <c r="G63" i="3"/>
  <c r="E63" i="3"/>
  <c r="D63" i="3"/>
  <c r="C63" i="3"/>
  <c r="B63" i="3"/>
  <c r="A63" i="3"/>
  <c r="G62" i="3"/>
  <c r="E62" i="3"/>
  <c r="D62" i="3"/>
  <c r="C62" i="3"/>
  <c r="B62" i="3"/>
  <c r="A62" i="3"/>
  <c r="G61" i="3"/>
  <c r="E61" i="3"/>
  <c r="D61" i="3"/>
  <c r="C61" i="3"/>
  <c r="B61" i="3"/>
  <c r="A61" i="3"/>
  <c r="G60" i="3"/>
  <c r="E60" i="3"/>
  <c r="D60" i="3"/>
  <c r="C60" i="3"/>
  <c r="B60" i="3"/>
  <c r="A60" i="3"/>
  <c r="G59" i="3"/>
  <c r="F59" i="3"/>
  <c r="E59" i="3"/>
  <c r="D59" i="3"/>
  <c r="C59" i="3"/>
  <c r="B59" i="3"/>
  <c r="A59" i="3"/>
  <c r="E58" i="3"/>
  <c r="D58" i="3"/>
  <c r="C58" i="3"/>
  <c r="B58" i="3"/>
  <c r="A58" i="3"/>
  <c r="E57" i="3"/>
  <c r="D57" i="3"/>
  <c r="C57" i="3"/>
  <c r="B57" i="3"/>
  <c r="A57" i="3"/>
  <c r="G56" i="3"/>
  <c r="E56" i="3"/>
  <c r="D56" i="3"/>
  <c r="C56" i="3"/>
  <c r="B56" i="3"/>
  <c r="A56" i="3"/>
  <c r="G55" i="3"/>
  <c r="E55" i="3"/>
  <c r="D55" i="3"/>
  <c r="C55" i="3"/>
  <c r="B55" i="3"/>
  <c r="A55" i="3"/>
  <c r="G54" i="3"/>
  <c r="E54" i="3"/>
  <c r="D54" i="3"/>
  <c r="C54" i="3"/>
  <c r="B54" i="3"/>
  <c r="A54" i="3"/>
  <c r="G53" i="3"/>
  <c r="E53" i="3"/>
  <c r="D53" i="3"/>
  <c r="C53" i="3"/>
  <c r="B53" i="3"/>
  <c r="A53" i="3"/>
  <c r="G52" i="3"/>
  <c r="E52" i="3"/>
  <c r="D52" i="3"/>
  <c r="C52" i="3"/>
  <c r="B52" i="3"/>
  <c r="A52" i="3"/>
  <c r="G51" i="3"/>
  <c r="E51" i="3"/>
  <c r="D51" i="3"/>
  <c r="C51" i="3"/>
  <c r="B51" i="3"/>
  <c r="A51" i="3"/>
  <c r="G50" i="3"/>
  <c r="F50" i="3"/>
  <c r="E50" i="3"/>
  <c r="D50" i="3"/>
  <c r="C50" i="3"/>
  <c r="B50" i="3"/>
  <c r="A50" i="3"/>
  <c r="E49" i="3"/>
  <c r="D49" i="3"/>
  <c r="C49" i="3"/>
  <c r="B49" i="3"/>
  <c r="A49" i="3"/>
  <c r="E48" i="3"/>
  <c r="D48" i="3"/>
  <c r="C48" i="3"/>
  <c r="B48" i="3"/>
  <c r="A48" i="3"/>
  <c r="G47" i="3"/>
  <c r="E47" i="3"/>
  <c r="D47" i="3"/>
  <c r="C47" i="3"/>
  <c r="B47" i="3"/>
  <c r="A47" i="3"/>
  <c r="G46" i="3"/>
  <c r="E46" i="3"/>
  <c r="D46" i="3"/>
  <c r="C46" i="3"/>
  <c r="B46" i="3"/>
  <c r="A46" i="3"/>
  <c r="G45" i="3"/>
  <c r="E45" i="3"/>
  <c r="D45" i="3"/>
  <c r="C45" i="3"/>
  <c r="B45" i="3"/>
  <c r="A45" i="3"/>
  <c r="G44" i="3"/>
  <c r="E44" i="3"/>
  <c r="D44" i="3"/>
  <c r="C44" i="3"/>
  <c r="B44" i="3"/>
  <c r="A44" i="3"/>
  <c r="G43" i="3"/>
  <c r="E43" i="3"/>
  <c r="D43" i="3"/>
  <c r="C43" i="3"/>
  <c r="B43" i="3"/>
  <c r="A43" i="3"/>
  <c r="G42" i="3"/>
  <c r="E42" i="3"/>
  <c r="D42" i="3"/>
  <c r="C42" i="3"/>
  <c r="B42" i="3"/>
  <c r="A42" i="3"/>
  <c r="G41" i="3"/>
  <c r="F41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G38" i="3"/>
  <c r="E38" i="3"/>
  <c r="D38" i="3"/>
  <c r="C38" i="3"/>
  <c r="B38" i="3"/>
  <c r="A38" i="3"/>
  <c r="G37" i="3"/>
  <c r="E37" i="3"/>
  <c r="D37" i="3"/>
  <c r="C37" i="3"/>
  <c r="B37" i="3"/>
  <c r="A37" i="3"/>
  <c r="G36" i="3"/>
  <c r="E36" i="3"/>
  <c r="D36" i="3"/>
  <c r="C36" i="3"/>
  <c r="B36" i="3"/>
  <c r="A36" i="3"/>
  <c r="G35" i="3"/>
  <c r="E35" i="3"/>
  <c r="D35" i="3"/>
  <c r="C35" i="3"/>
  <c r="B35" i="3"/>
  <c r="A35" i="3"/>
  <c r="G34" i="3"/>
  <c r="E34" i="3"/>
  <c r="D34" i="3"/>
  <c r="C34" i="3"/>
  <c r="B34" i="3"/>
  <c r="A34" i="3"/>
  <c r="G33" i="3"/>
  <c r="E33" i="3"/>
  <c r="D33" i="3"/>
  <c r="C33" i="3"/>
  <c r="B33" i="3"/>
  <c r="A33" i="3"/>
  <c r="G32" i="3"/>
  <c r="F32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G29" i="3"/>
  <c r="E29" i="3"/>
  <c r="D29" i="3"/>
  <c r="C29" i="3"/>
  <c r="B29" i="3"/>
  <c r="A29" i="3"/>
  <c r="G28" i="3"/>
  <c r="E28" i="3"/>
  <c r="D28" i="3"/>
  <c r="C28" i="3"/>
  <c r="B28" i="3"/>
  <c r="A28" i="3"/>
  <c r="G27" i="3"/>
  <c r="E27" i="3"/>
  <c r="D27" i="3"/>
  <c r="C27" i="3"/>
  <c r="B27" i="3"/>
  <c r="A27" i="3"/>
  <c r="G26" i="3"/>
  <c r="E26" i="3"/>
  <c r="D26" i="3"/>
  <c r="C26" i="3"/>
  <c r="B26" i="3"/>
  <c r="A26" i="3"/>
  <c r="G25" i="3"/>
  <c r="E25" i="3"/>
  <c r="D25" i="3"/>
  <c r="C25" i="3"/>
  <c r="B25" i="3"/>
  <c r="A25" i="3"/>
  <c r="G24" i="3"/>
  <c r="E24" i="3"/>
  <c r="D24" i="3"/>
  <c r="C24" i="3"/>
  <c r="B24" i="3"/>
  <c r="A24" i="3"/>
  <c r="G23" i="3"/>
  <c r="F23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A21" i="3"/>
  <c r="G20" i="3"/>
  <c r="E20" i="3"/>
  <c r="D20" i="3"/>
  <c r="C20" i="3"/>
  <c r="B20" i="3"/>
  <c r="A20" i="3"/>
  <c r="G19" i="3"/>
  <c r="E19" i="3"/>
  <c r="D19" i="3"/>
  <c r="C19" i="3"/>
  <c r="B19" i="3"/>
  <c r="A19" i="3"/>
  <c r="G18" i="3"/>
  <c r="E18" i="3"/>
  <c r="D18" i="3"/>
  <c r="C18" i="3"/>
  <c r="B18" i="3"/>
  <c r="A18" i="3"/>
  <c r="G17" i="3"/>
  <c r="E17" i="3"/>
  <c r="D17" i="3"/>
  <c r="C17" i="3"/>
  <c r="B17" i="3"/>
  <c r="A17" i="3"/>
  <c r="G16" i="3"/>
  <c r="E16" i="3"/>
  <c r="D16" i="3"/>
  <c r="C16" i="3"/>
  <c r="B16" i="3"/>
  <c r="A16" i="3"/>
  <c r="G15" i="3"/>
  <c r="E15" i="3"/>
  <c r="D15" i="3"/>
  <c r="C15" i="3"/>
  <c r="B15" i="3"/>
  <c r="A15" i="3"/>
  <c r="G14" i="3"/>
  <c r="F14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G11" i="3"/>
  <c r="E11" i="3"/>
  <c r="D11" i="3"/>
  <c r="C11" i="3"/>
  <c r="B11" i="3"/>
  <c r="A11" i="3"/>
  <c r="G10" i="3"/>
  <c r="E10" i="3"/>
  <c r="D10" i="3"/>
  <c r="C10" i="3"/>
  <c r="B10" i="3"/>
  <c r="A10" i="3"/>
  <c r="G9" i="3"/>
  <c r="E9" i="3"/>
  <c r="D9" i="3"/>
  <c r="C9" i="3"/>
  <c r="B9" i="3"/>
  <c r="A9" i="3"/>
  <c r="G8" i="3"/>
  <c r="E8" i="3"/>
  <c r="D8" i="3"/>
  <c r="C8" i="3"/>
  <c r="B8" i="3"/>
  <c r="A8" i="3"/>
  <c r="G7" i="3"/>
  <c r="E7" i="3"/>
  <c r="D7" i="3"/>
  <c r="C7" i="3"/>
  <c r="B7" i="3"/>
  <c r="A7" i="3"/>
  <c r="G6" i="3"/>
  <c r="E6" i="3"/>
  <c r="D6" i="3"/>
  <c r="C6" i="3"/>
  <c r="B6" i="3"/>
  <c r="A6" i="3"/>
  <c r="G5" i="3"/>
  <c r="F5" i="3"/>
  <c r="E5" i="3"/>
  <c r="D5" i="3"/>
  <c r="C5" i="3"/>
  <c r="B5" i="3"/>
  <c r="A5" i="3"/>
  <c r="E4" i="3"/>
  <c r="D4" i="3"/>
  <c r="C4" i="3"/>
  <c r="B4" i="3"/>
  <c r="A4" i="3"/>
  <c r="D3" i="3"/>
  <c r="C3" i="3"/>
  <c r="B3" i="3"/>
  <c r="A3" i="3"/>
</calcChain>
</file>

<file path=xl/sharedStrings.xml><?xml version="1.0" encoding="utf-8"?>
<sst xmlns="http://schemas.openxmlformats.org/spreadsheetml/2006/main" count="1027" uniqueCount="162">
  <si>
    <t>ordre_zona</t>
  </si>
  <si>
    <t>zona</t>
  </si>
  <si>
    <t>ordre_parametre</t>
  </si>
  <si>
    <t>parametre</t>
  </si>
  <si>
    <t>fecha_mostra</t>
  </si>
  <si>
    <t>valor</t>
  </si>
  <si>
    <t>unitat</t>
  </si>
  <si>
    <t>limit_min</t>
  </si>
  <si>
    <t>limit_max</t>
  </si>
  <si>
    <t>punto_lims_elegido</t>
  </si>
  <si>
    <t>tipo_punto</t>
  </si>
  <si>
    <t>denominacion_lims</t>
  </si>
  <si>
    <t>num_muestra</t>
  </si>
  <si>
    <t>fecha_finalizacion</t>
  </si>
  <si>
    <t>ZONA PEIRÓ</t>
  </si>
  <si>
    <t>Microbiologia</t>
  </si>
  <si>
    <t>Correcte</t>
  </si>
  <si>
    <t>Correcte / Incorrecte</t>
  </si>
  <si>
    <t>PEIRÓ. Xarxa Peirò A - Font de la Pica</t>
  </si>
  <si>
    <t>Xarxa</t>
  </si>
  <si>
    <t>9155880</t>
  </si>
  <si>
    <t>07-04-26</t>
  </si>
  <si>
    <t>Organolèptic</t>
  </si>
  <si>
    <t>pH</t>
  </si>
  <si>
    <t>7.6</t>
  </si>
  <si>
    <t>U. pH.</t>
  </si>
  <si>
    <t>Conductivitat</t>
  </si>
  <si>
    <t>449</t>
  </si>
  <si>
    <t>µS/cm</t>
  </si>
  <si>
    <t>Terbolesa</t>
  </si>
  <si>
    <t>&lt; 0.20</t>
  </si>
  <si>
    <t>UNF</t>
  </si>
  <si>
    <t>Clor lliure</t>
  </si>
  <si>
    <t>0.58</t>
  </si>
  <si>
    <t>mg/L</t>
  </si>
  <si>
    <t>Duresa</t>
  </si>
  <si>
    <t>160.3</t>
  </si>
  <si>
    <t>8891861</t>
  </si>
  <si>
    <t>Clorurs</t>
  </si>
  <si>
    <t>23.3</t>
  </si>
  <si>
    <t>Nitrats</t>
  </si>
  <si>
    <t>&lt; 0.5</t>
  </si>
  <si>
    <t>ZONA CREUS</t>
  </si>
  <si>
    <t>CREUS. Xarxa Creus B - Centre d'atenció primària (Mont-Roig)</t>
  </si>
  <si>
    <t>9155878</t>
  </si>
  <si>
    <t>7.8</t>
  </si>
  <si>
    <t>594</t>
  </si>
  <si>
    <t>0.57</t>
  </si>
  <si>
    <t>234.4</t>
  </si>
  <si>
    <t>36.1</t>
  </si>
  <si>
    <t>36.8</t>
  </si>
  <si>
    <t>ZONA ERMITA</t>
  </si>
  <si>
    <t>ERMITA. Dipòsit Ermita</t>
  </si>
  <si>
    <t>Dipòsit</t>
  </si>
  <si>
    <t>7.5</t>
  </si>
  <si>
    <t>1.22</t>
  </si>
  <si>
    <t>0.21</t>
  </si>
  <si>
    <t>38.81</t>
  </si>
  <si>
    <t>ERMITA. Pou Ermita</t>
  </si>
  <si>
    <t>Pou</t>
  </si>
  <si>
    <t>&lt; 0.50</t>
  </si>
  <si>
    <t>ZONA CLUB MONT-ROIG</t>
  </si>
  <si>
    <t>CLUB MONT-ROIG. Xarxa Club Mont-roig A - Font Parc del Club Mont-roig</t>
  </si>
  <si>
    <t>7.7</t>
  </si>
  <si>
    <t>0.23</t>
  </si>
  <si>
    <t>220.9</t>
  </si>
  <si>
    <t>34.6</t>
  </si>
  <si>
    <t>37.7</t>
  </si>
  <si>
    <t>ZONA BADIA-MAINOU-JARDINS-BALNEARI</t>
  </si>
  <si>
    <t>MONT-ROIG BADIA-MAINOU-JARDINS PARADÍS-RUSTICAL BALNEARI. Xarxa Badia Rustical Balneari B- Font</t>
  </si>
  <si>
    <t>7.9</t>
  </si>
  <si>
    <t>0.67</t>
  </si>
  <si>
    <t>0.60</t>
  </si>
  <si>
    <t>198.5</t>
  </si>
  <si>
    <t>36.9</t>
  </si>
  <si>
    <t>35.1</t>
  </si>
  <si>
    <t>ZONA SANT MIQUEL-RUSTICAL</t>
  </si>
  <si>
    <t>SANT MIQUEL - RUSTICAL MONT-ROIG. Xarxa Sant Miquel - Rustical Mont-roig D - EBAR Rustical</t>
  </si>
  <si>
    <t>0.73</t>
  </si>
  <si>
    <t>0.38</t>
  </si>
  <si>
    <t>722.8</t>
  </si>
  <si>
    <t>SANT MIQUEL - RUSTICAL MONT-ROIG . Xarxa Sant Miquel Rustical Mont-roig C - Font 1 Parc Rustical Mon</t>
  </si>
  <si>
    <t>581.29</t>
  </si>
  <si>
    <t>14.1</t>
  </si>
  <si>
    <t>ZONA MASOS-GUARDAMAR-RIBERA</t>
  </si>
  <si>
    <t>MASOS-GUARDAMAR-RIVIERA. Xarxa Masos - Guardamar - Riviera D - Entrada dipòsit Guardamar</t>
  </si>
  <si>
    <t>0.50</t>
  </si>
  <si>
    <t>74.5</t>
  </si>
  <si>
    <t>MASOS - GUARDAMAR -RIVIERA. Pou Masos 01</t>
  </si>
  <si>
    <t>18.2</t>
  </si>
  <si>
    <t>ZONA PINS DE MIRAMAR</t>
  </si>
  <si>
    <t>PINS DE MIRAMAR. Xarxa Pins de Miramar B -Font del parc Pins de miramar</t>
  </si>
  <si>
    <t>7.2</t>
  </si>
  <si>
    <t>0.40</t>
  </si>
  <si>
    <t>522.8</t>
  </si>
  <si>
    <t>PINS DE MIRAMAR. Pou Pins de Miramar</t>
  </si>
  <si>
    <t>17.6</t>
  </si>
  <si>
    <t>ZONA SOLEMIO</t>
  </si>
  <si>
    <t>SOLEMIO . Xarxa Solemio  E - Font del Parc Solemio.</t>
  </si>
  <si>
    <t>7.4</t>
  </si>
  <si>
    <t>0.48</t>
  </si>
  <si>
    <t>601.8</t>
  </si>
  <si>
    <t>471.33</t>
  </si>
  <si>
    <t>26.95</t>
  </si>
  <si>
    <t>ZONA MIAMI PLATJA</t>
  </si>
  <si>
    <t>MIAMI PLATJA. Xarxa Miami A - Font 1 Església Miami</t>
  </si>
  <si>
    <t>0.42</t>
  </si>
  <si>
    <t>674.9</t>
  </si>
  <si>
    <t>MIAMI PLATJA. Xarxa Miami E - Font 5 Plaça Jaen</t>
  </si>
  <si>
    <t>646.06</t>
  </si>
  <si>
    <t>21.18</t>
  </si>
  <si>
    <t>ZONA COSTA ZÈFIR</t>
  </si>
  <si>
    <t>COSTA ZÈFIR. Xarxa Costa Zèfir A - Font Parc Costa Zèfir</t>
  </si>
  <si>
    <t>0.45</t>
  </si>
  <si>
    <t>390.3</t>
  </si>
  <si>
    <t>COSTA ZÈFIR. Pou Costa Zèfir</t>
  </si>
  <si>
    <t>9.7</t>
  </si>
  <si>
    <t>ZONA ROMA</t>
  </si>
  <si>
    <t>ROMA. Xarxa Roma A - Font del Parc Roma</t>
  </si>
  <si>
    <t>0.37</t>
  </si>
  <si>
    <t>365.1</t>
  </si>
  <si>
    <t>175.2</t>
  </si>
  <si>
    <t>11.1</t>
  </si>
  <si>
    <t>ZONA RANXOS</t>
  </si>
  <si>
    <t>RANXOS-VIA MARINA. Xarxa Ranxos A-Boca de reg camp de futbol</t>
  </si>
  <si>
    <t>0.28</t>
  </si>
  <si>
    <t>684.8</t>
  </si>
  <si>
    <t>RANXOS - VIA MARINA. Pou Ranxos (Mont-roig)</t>
  </si>
  <si>
    <t>10.4</t>
  </si>
  <si>
    <t>ZONA BONMONT</t>
  </si>
  <si>
    <t>BONMONT. Xarxa Bonmont A (Mont-roig)-Aixeta 01</t>
  </si>
  <si>
    <t>0.76</t>
  </si>
  <si>
    <t>32.0</t>
  </si>
  <si>
    <t>BONMONT. Pous Bonmont - Tub d'impulsió</t>
  </si>
  <si>
    <t>ZONA VIA MARINA</t>
  </si>
  <si>
    <t>VIA MARINA. Dipòsit Via Marina</t>
  </si>
  <si>
    <t>617</t>
  </si>
  <si>
    <t>0.68</t>
  </si>
  <si>
    <t>419.3</t>
  </si>
  <si>
    <t>138.26</t>
  </si>
  <si>
    <t>15.87</t>
  </si>
  <si>
    <t>data_mostra</t>
  </si>
  <si>
    <t>Zona oficial</t>
  </si>
  <si>
    <t>Paràmetre</t>
  </si>
  <si>
    <t>Tipus punt</t>
  </si>
  <si>
    <t>Ordre prioritat</t>
  </si>
  <si>
    <t>Unitat suggerida</t>
  </si>
  <si>
    <t>Límit mínim</t>
  </si>
  <si>
    <t>Límit màxim</t>
  </si>
  <si>
    <t>unit pH</t>
  </si>
  <si>
    <t>NTU</t>
  </si>
  <si>
    <t>453.6</t>
  </si>
  <si>
    <t>RANXOS-VIA MARINA. Dipòsit Ranxos</t>
  </si>
  <si>
    <t xml:space="preserve">MASOS D'EN BLADER-PINOS MIRAMAR-GUARDAMAR-RIVIERA. Dipòsit Masos (Mont-roig)	</t>
  </si>
  <si>
    <t>Altre</t>
  </si>
  <si>
    <t>MASOS D'EN BLADER-PINOS MIRAMAR-GUARDAMAR-RIVIERA. Dipòsit Masos (Mont-roig)</t>
  </si>
  <si>
    <t>399.5</t>
  </si>
  <si>
    <t>COSTA ZÈFIR. Dipòsit Costa Zèfir</t>
  </si>
  <si>
    <t>622.0</t>
  </si>
  <si>
    <t xml:space="preserve">	293.4</t>
  </si>
  <si>
    <t>BONMONT. Dipòsit Bontmont</t>
  </si>
  <si>
    <t>mg/L CaCo3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</si>
</sst>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sz val="11"/>
      <color rgb="FFFF0000"/>
      <name val="Carlito"/>
      <family val="2"/>
    </font>
    <font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0"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bgColor rgb="FFFEF3C7"/>
        </patternFill>
      </fill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illaAquaCheck" displayName="PlantillaAquaCheck" ref="A1:N136">
  <autoFilter ref="A1:N136" xr:uid="{00000000-000C-0000-FFFF-FFFF00000000}">
    <filterColumn colId="6">
      <filters>
        <filter val="mg CaCO₃/L"/>
        <filter val="mg/L CaCO3"/>
        <filter val="mg/L CaCO₃"/>
      </filters>
    </filterColumn>
  </autoFilter>
  <tableColumns count="14">
    <tableColumn id="1" xr3:uid="{00000000-0010-0000-0000-000001000000}" name="ordre_zona"/>
    <tableColumn id="2" xr3:uid="{00000000-0010-0000-0000-000002000000}" name="zona"/>
    <tableColumn id="3" xr3:uid="{00000000-0010-0000-0000-000003000000}" name="ordre_parametre"/>
    <tableColumn id="4" xr3:uid="{00000000-0010-0000-0000-000004000000}" name="parametre"/>
    <tableColumn id="5" xr3:uid="{00000000-0010-0000-0000-000005000000}" name="fecha_mostra" dataDxfId="9"/>
    <tableColumn id="6" xr3:uid="{00000000-0010-0000-0000-000006000000}" name="valor"/>
    <tableColumn id="7" xr3:uid="{00000000-0010-0000-0000-000007000000}" name="unitat"/>
    <tableColumn id="8" xr3:uid="{00000000-0010-0000-0000-000008000000}" name="limit_min"/>
    <tableColumn id="9" xr3:uid="{00000000-0010-0000-0000-000009000000}" name="limit_max"/>
    <tableColumn id="13" xr3:uid="{00000000-0010-0000-0000-00000D000000}" name="num_muestra" dataDxfId="8"/>
    <tableColumn id="10" xr3:uid="{00000000-0010-0000-0000-00000A000000}" name="punto_lims_elegido"/>
    <tableColumn id="11" xr3:uid="{00000000-0010-0000-0000-00000B000000}" name="tipo_punto"/>
    <tableColumn id="12" xr3:uid="{00000000-0010-0000-0000-00000C000000}" name="denominacion_lims"/>
    <tableColumn id="14" xr3:uid="{00000000-0010-0000-0000-00000E000000}" name="fecha_finaliz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SVAquaCheck" displayName="CSVAquaCheck" ref="A2:G137">
  <tableColumns count="7">
    <tableColumn id="1" xr3:uid="{00000000-0010-0000-0100-000001000000}" name="zona" dataDxfId="0">
      <calculatedColumnFormula>Plantilla!B2</calculatedColumnFormula>
    </tableColumn>
    <tableColumn id="2" xr3:uid="{00000000-0010-0000-0100-000002000000}" name="data_mostra" dataDxfId="1">
      <calculatedColumnFormula>Plantilla!E2</calculatedColumnFormula>
    </tableColumn>
    <tableColumn id="3" xr3:uid="{00000000-0010-0000-0100-000003000000}" name="parametre" dataDxfId="6">
      <calculatedColumnFormula>Plantilla!D2</calculatedColumnFormula>
    </tableColumn>
    <tableColumn id="4" xr3:uid="{00000000-0010-0000-0100-000004000000}" name="valor" dataDxfId="5">
      <calculatedColumnFormula>Plantilla!F2</calculatedColumnFormula>
    </tableColumn>
    <tableColumn id="5" xr3:uid="{00000000-0010-0000-0100-000005000000}" name="unitat" dataDxfId="4">
      <calculatedColumnFormula>Plantilla!G2</calculatedColumnFormula>
    </tableColumn>
    <tableColumn id="6" xr3:uid="{00000000-0010-0000-0100-000006000000}" name="limit_min" dataDxfId="3"/>
    <tableColumn id="7" xr3:uid="{00000000-0010-0000-0100-000007000000}" name="limit_ma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5"/>
  <sheetViews>
    <sheetView workbookViewId="0">
      <selection activeCell="G17" sqref="G17:G134"/>
    </sheetView>
  </sheetViews>
  <sheetFormatPr baseColWidth="10" defaultColWidth="9" defaultRowHeight="15" x14ac:dyDescent="0.25"/>
  <cols>
    <col min="1" max="1" width="12" customWidth="1"/>
    <col min="2" max="2" width="36" customWidth="1"/>
    <col min="3" max="3" width="17" customWidth="1"/>
    <col min="4" max="4" width="15" customWidth="1"/>
    <col min="5" max="5" width="18" customWidth="1"/>
    <col min="6" max="6" width="12" style="10" customWidth="1"/>
    <col min="7" max="7" width="23" customWidth="1"/>
    <col min="8" max="9" width="11" customWidth="1"/>
    <col min="10" max="10" width="13" customWidth="1"/>
    <col min="11" max="11" width="55" customWidth="1"/>
    <col min="12" max="12" width="12" customWidth="1"/>
    <col min="13" max="13" width="55" customWidth="1"/>
    <col min="15" max="15" width="20" customWidth="1"/>
  </cols>
  <sheetData>
    <row r="1" spans="1:14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  <c r="G1" s="3" t="s">
        <v>6</v>
      </c>
      <c r="H1" s="3" t="s">
        <v>7</v>
      </c>
      <c r="I1" s="3" t="s">
        <v>8</v>
      </c>
      <c r="J1" s="3" t="s">
        <v>12</v>
      </c>
      <c r="K1" s="3" t="s">
        <v>9</v>
      </c>
      <c r="L1" s="3" t="s">
        <v>10</v>
      </c>
      <c r="M1" s="3" t="s">
        <v>11</v>
      </c>
      <c r="N1" s="3" t="s">
        <v>13</v>
      </c>
    </row>
    <row r="2" spans="1:14" hidden="1" x14ac:dyDescent="0.25">
      <c r="A2">
        <v>1</v>
      </c>
      <c r="B2" t="s">
        <v>14</v>
      </c>
      <c r="C2">
        <v>1</v>
      </c>
      <c r="D2" t="s">
        <v>15</v>
      </c>
      <c r="E2" s="4">
        <v>46104.375</v>
      </c>
      <c r="F2" t="s">
        <v>16</v>
      </c>
      <c r="G2" s="6" t="s">
        <v>17</v>
      </c>
      <c r="J2" t="s">
        <v>20</v>
      </c>
      <c r="K2" t="s">
        <v>18</v>
      </c>
      <c r="L2" t="s">
        <v>19</v>
      </c>
      <c r="M2" t="s">
        <v>18</v>
      </c>
      <c r="N2" s="4" t="s">
        <v>21</v>
      </c>
    </row>
    <row r="3" spans="1:14" hidden="1" x14ac:dyDescent="0.25">
      <c r="A3">
        <v>1</v>
      </c>
      <c r="B3" t="s">
        <v>14</v>
      </c>
      <c r="C3">
        <v>2</v>
      </c>
      <c r="D3" t="s">
        <v>22</v>
      </c>
      <c r="E3" s="4">
        <v>46104.375</v>
      </c>
      <c r="F3" t="s">
        <v>16</v>
      </c>
      <c r="G3" s="6" t="s">
        <v>17</v>
      </c>
      <c r="J3" t="s">
        <v>20</v>
      </c>
      <c r="K3" t="s">
        <v>18</v>
      </c>
      <c r="L3" t="s">
        <v>19</v>
      </c>
      <c r="M3" t="s">
        <v>18</v>
      </c>
      <c r="N3" s="4" t="s">
        <v>21</v>
      </c>
    </row>
    <row r="4" spans="1:14" hidden="1" x14ac:dyDescent="0.25">
      <c r="A4">
        <v>1</v>
      </c>
      <c r="B4" t="s">
        <v>14</v>
      </c>
      <c r="C4">
        <v>3</v>
      </c>
      <c r="D4" t="s">
        <v>23</v>
      </c>
      <c r="E4" s="4">
        <v>46104.375</v>
      </c>
      <c r="F4" t="s">
        <v>24</v>
      </c>
      <c r="G4" t="s">
        <v>25</v>
      </c>
      <c r="H4">
        <v>6.9</v>
      </c>
      <c r="I4">
        <v>9.5</v>
      </c>
      <c r="J4" t="s">
        <v>20</v>
      </c>
      <c r="K4" t="s">
        <v>18</v>
      </c>
      <c r="L4" t="s">
        <v>19</v>
      </c>
      <c r="M4" t="s">
        <v>18</v>
      </c>
      <c r="N4" s="4" t="s">
        <v>21</v>
      </c>
    </row>
    <row r="5" spans="1:14" hidden="1" x14ac:dyDescent="0.25">
      <c r="A5">
        <v>1</v>
      </c>
      <c r="B5" t="s">
        <v>14</v>
      </c>
      <c r="C5">
        <v>4</v>
      </c>
      <c r="D5" t="s">
        <v>26</v>
      </c>
      <c r="E5" s="4">
        <v>46104.375</v>
      </c>
      <c r="F5" t="s">
        <v>27</v>
      </c>
      <c r="G5" t="s">
        <v>28</v>
      </c>
      <c r="I5">
        <v>2500</v>
      </c>
      <c r="J5" t="s">
        <v>20</v>
      </c>
      <c r="K5" t="s">
        <v>18</v>
      </c>
      <c r="L5" t="s">
        <v>19</v>
      </c>
      <c r="M5" t="s">
        <v>18</v>
      </c>
      <c r="N5" s="4" t="s">
        <v>21</v>
      </c>
    </row>
    <row r="6" spans="1:14" hidden="1" x14ac:dyDescent="0.25">
      <c r="A6">
        <v>1</v>
      </c>
      <c r="B6" t="s">
        <v>14</v>
      </c>
      <c r="C6">
        <v>5</v>
      </c>
      <c r="D6" t="s">
        <v>29</v>
      </c>
      <c r="E6" s="4">
        <v>46104.375</v>
      </c>
      <c r="F6" t="s">
        <v>30</v>
      </c>
      <c r="G6" t="s">
        <v>31</v>
      </c>
      <c r="I6">
        <v>5</v>
      </c>
      <c r="J6" t="s">
        <v>20</v>
      </c>
      <c r="K6" t="s">
        <v>18</v>
      </c>
      <c r="L6" t="s">
        <v>19</v>
      </c>
      <c r="M6" t="s">
        <v>18</v>
      </c>
      <c r="N6" s="4" t="s">
        <v>21</v>
      </c>
    </row>
    <row r="7" spans="1:14" hidden="1" x14ac:dyDescent="0.25">
      <c r="A7">
        <v>1</v>
      </c>
      <c r="B7" t="s">
        <v>14</v>
      </c>
      <c r="C7">
        <v>6</v>
      </c>
      <c r="D7" t="s">
        <v>32</v>
      </c>
      <c r="E7" s="4">
        <v>46104.375</v>
      </c>
      <c r="F7" t="s">
        <v>33</v>
      </c>
      <c r="G7" t="s">
        <v>34</v>
      </c>
      <c r="I7">
        <v>1</v>
      </c>
      <c r="J7" t="s">
        <v>20</v>
      </c>
      <c r="K7" t="s">
        <v>18</v>
      </c>
      <c r="L7" t="s">
        <v>19</v>
      </c>
      <c r="M7" t="s">
        <v>18</v>
      </c>
      <c r="N7" s="4" t="s">
        <v>21</v>
      </c>
    </row>
    <row r="8" spans="1:14" x14ac:dyDescent="0.25">
      <c r="A8">
        <v>1</v>
      </c>
      <c r="B8" t="s">
        <v>14</v>
      </c>
      <c r="C8">
        <v>7</v>
      </c>
      <c r="D8" t="s">
        <v>35</v>
      </c>
      <c r="E8" s="4">
        <v>46051.385416666664</v>
      </c>
      <c r="F8" s="10" t="s">
        <v>36</v>
      </c>
      <c r="G8" s="6" t="s">
        <v>161</v>
      </c>
      <c r="I8">
        <v>500</v>
      </c>
      <c r="J8">
        <v>8891861</v>
      </c>
      <c r="K8" t="s">
        <v>18</v>
      </c>
      <c r="L8" t="s">
        <v>19</v>
      </c>
      <c r="M8" t="s">
        <v>18</v>
      </c>
      <c r="N8" s="4">
        <v>46069</v>
      </c>
    </row>
    <row r="9" spans="1:14" hidden="1" x14ac:dyDescent="0.25">
      <c r="A9">
        <v>1</v>
      </c>
      <c r="B9" t="s">
        <v>14</v>
      </c>
      <c r="C9">
        <v>8</v>
      </c>
      <c r="D9" t="s">
        <v>38</v>
      </c>
      <c r="E9" s="4">
        <v>46051.385416666664</v>
      </c>
      <c r="F9" t="s">
        <v>39</v>
      </c>
      <c r="G9" t="s">
        <v>34</v>
      </c>
      <c r="I9">
        <v>250</v>
      </c>
      <c r="J9" t="s">
        <v>37</v>
      </c>
      <c r="K9" t="s">
        <v>18</v>
      </c>
      <c r="L9" t="s">
        <v>19</v>
      </c>
      <c r="M9" t="s">
        <v>18</v>
      </c>
      <c r="N9" s="4">
        <v>46069</v>
      </c>
    </row>
    <row r="10" spans="1:14" hidden="1" x14ac:dyDescent="0.25">
      <c r="A10">
        <v>1</v>
      </c>
      <c r="B10" t="s">
        <v>14</v>
      </c>
      <c r="C10">
        <v>9</v>
      </c>
      <c r="D10" t="s">
        <v>40</v>
      </c>
      <c r="E10" s="4">
        <v>46051.385416666664</v>
      </c>
      <c r="F10" t="s">
        <v>41</v>
      </c>
      <c r="G10" t="s">
        <v>34</v>
      </c>
      <c r="I10">
        <v>50</v>
      </c>
      <c r="J10" t="s">
        <v>37</v>
      </c>
      <c r="K10" t="s">
        <v>18</v>
      </c>
      <c r="L10" t="s">
        <v>19</v>
      </c>
      <c r="M10" t="s">
        <v>18</v>
      </c>
      <c r="N10" s="4">
        <v>46069</v>
      </c>
    </row>
    <row r="11" spans="1:14" hidden="1" x14ac:dyDescent="0.25">
      <c r="A11">
        <v>2</v>
      </c>
      <c r="B11" t="s">
        <v>42</v>
      </c>
      <c r="C11">
        <v>1</v>
      </c>
      <c r="D11" t="s">
        <v>15</v>
      </c>
      <c r="E11" s="4">
        <v>46077.416666666664</v>
      </c>
      <c r="F11" t="s">
        <v>16</v>
      </c>
      <c r="G11" t="s">
        <v>17</v>
      </c>
      <c r="J11" t="s">
        <v>44</v>
      </c>
      <c r="K11" t="s">
        <v>43</v>
      </c>
      <c r="L11" t="s">
        <v>19</v>
      </c>
      <c r="M11" t="s">
        <v>43</v>
      </c>
      <c r="N11" s="4">
        <v>46084</v>
      </c>
    </row>
    <row r="12" spans="1:14" hidden="1" x14ac:dyDescent="0.25">
      <c r="A12">
        <v>2</v>
      </c>
      <c r="B12" t="s">
        <v>42</v>
      </c>
      <c r="C12">
        <v>2</v>
      </c>
      <c r="D12" t="s">
        <v>22</v>
      </c>
      <c r="E12" s="4">
        <v>46077.416666666664</v>
      </c>
      <c r="F12" t="s">
        <v>16</v>
      </c>
      <c r="G12" t="s">
        <v>17</v>
      </c>
      <c r="J12" t="s">
        <v>44</v>
      </c>
      <c r="K12" t="s">
        <v>43</v>
      </c>
      <c r="L12" t="s">
        <v>19</v>
      </c>
      <c r="M12" t="s">
        <v>43</v>
      </c>
      <c r="N12" s="4">
        <v>46084</v>
      </c>
    </row>
    <row r="13" spans="1:14" hidden="1" x14ac:dyDescent="0.25">
      <c r="A13">
        <v>2</v>
      </c>
      <c r="B13" t="s">
        <v>42</v>
      </c>
      <c r="C13">
        <v>3</v>
      </c>
      <c r="D13" t="s">
        <v>23</v>
      </c>
      <c r="E13" s="4">
        <v>46077.416666666664</v>
      </c>
      <c r="F13" t="s">
        <v>45</v>
      </c>
      <c r="G13" t="s">
        <v>25</v>
      </c>
      <c r="H13">
        <v>6.9</v>
      </c>
      <c r="I13">
        <v>9.5</v>
      </c>
      <c r="J13" t="s">
        <v>44</v>
      </c>
      <c r="K13" t="s">
        <v>43</v>
      </c>
      <c r="L13" t="s">
        <v>19</v>
      </c>
      <c r="M13" t="s">
        <v>43</v>
      </c>
      <c r="N13" s="4">
        <v>46084</v>
      </c>
    </row>
    <row r="14" spans="1:14" hidden="1" x14ac:dyDescent="0.25">
      <c r="A14">
        <v>2</v>
      </c>
      <c r="B14" t="s">
        <v>42</v>
      </c>
      <c r="C14">
        <v>4</v>
      </c>
      <c r="D14" t="s">
        <v>26</v>
      </c>
      <c r="E14" s="4">
        <v>46077.416666666664</v>
      </c>
      <c r="F14" t="s">
        <v>46</v>
      </c>
      <c r="G14" t="s">
        <v>28</v>
      </c>
      <c r="I14">
        <v>2500</v>
      </c>
      <c r="J14" t="s">
        <v>44</v>
      </c>
      <c r="K14" t="s">
        <v>43</v>
      </c>
      <c r="L14" t="s">
        <v>19</v>
      </c>
      <c r="M14" t="s">
        <v>43</v>
      </c>
      <c r="N14" s="4">
        <v>46084</v>
      </c>
    </row>
    <row r="15" spans="1:14" hidden="1" x14ac:dyDescent="0.25">
      <c r="A15">
        <v>2</v>
      </c>
      <c r="B15" t="s">
        <v>42</v>
      </c>
      <c r="C15">
        <v>5</v>
      </c>
      <c r="D15" t="s">
        <v>29</v>
      </c>
      <c r="E15" s="4">
        <v>46077.416666666664</v>
      </c>
      <c r="F15" t="s">
        <v>30</v>
      </c>
      <c r="G15" t="s">
        <v>31</v>
      </c>
      <c r="I15">
        <v>5</v>
      </c>
      <c r="J15" t="s">
        <v>44</v>
      </c>
      <c r="K15" t="s">
        <v>43</v>
      </c>
      <c r="L15" t="s">
        <v>19</v>
      </c>
      <c r="M15" t="s">
        <v>43</v>
      </c>
      <c r="N15" s="4">
        <v>46084</v>
      </c>
    </row>
    <row r="16" spans="1:14" hidden="1" x14ac:dyDescent="0.25">
      <c r="A16">
        <v>2</v>
      </c>
      <c r="B16" t="s">
        <v>42</v>
      </c>
      <c r="C16">
        <v>6</v>
      </c>
      <c r="D16" t="s">
        <v>32</v>
      </c>
      <c r="E16" s="4">
        <v>46077.416666666664</v>
      </c>
      <c r="F16" t="s">
        <v>47</v>
      </c>
      <c r="G16" t="s">
        <v>34</v>
      </c>
      <c r="I16">
        <v>1</v>
      </c>
      <c r="J16" t="s">
        <v>44</v>
      </c>
      <c r="K16" t="s">
        <v>43</v>
      </c>
      <c r="L16" t="s">
        <v>19</v>
      </c>
      <c r="M16" t="s">
        <v>43</v>
      </c>
      <c r="N16" s="4">
        <v>46084</v>
      </c>
    </row>
    <row r="17" spans="1:14" x14ac:dyDescent="0.25">
      <c r="A17">
        <v>2</v>
      </c>
      <c r="B17" t="s">
        <v>42</v>
      </c>
      <c r="C17">
        <v>7</v>
      </c>
      <c r="D17" t="s">
        <v>35</v>
      </c>
      <c r="E17" s="4">
        <v>46051.399305555555</v>
      </c>
      <c r="F17" s="10" t="s">
        <v>48</v>
      </c>
      <c r="G17" s="6" t="s">
        <v>161</v>
      </c>
      <c r="I17">
        <v>500</v>
      </c>
      <c r="J17">
        <v>8891862</v>
      </c>
      <c r="K17" t="s">
        <v>43</v>
      </c>
      <c r="L17" t="s">
        <v>19</v>
      </c>
      <c r="M17" t="s">
        <v>43</v>
      </c>
      <c r="N17" s="4">
        <v>46072</v>
      </c>
    </row>
    <row r="18" spans="1:14" x14ac:dyDescent="0.25">
      <c r="A18">
        <v>2</v>
      </c>
      <c r="B18" t="s">
        <v>42</v>
      </c>
      <c r="C18">
        <v>8</v>
      </c>
      <c r="D18" t="s">
        <v>38</v>
      </c>
      <c r="E18" s="4">
        <v>46051.399305555555</v>
      </c>
      <c r="F18" s="10" t="s">
        <v>49</v>
      </c>
      <c r="G18" t="s">
        <v>161</v>
      </c>
      <c r="I18">
        <v>250</v>
      </c>
      <c r="J18">
        <v>8891862</v>
      </c>
      <c r="K18" t="s">
        <v>43</v>
      </c>
      <c r="L18" t="s">
        <v>19</v>
      </c>
      <c r="M18" t="s">
        <v>43</v>
      </c>
      <c r="N18" s="4">
        <v>46072</v>
      </c>
    </row>
    <row r="19" spans="1:14" x14ac:dyDescent="0.25">
      <c r="A19">
        <v>2</v>
      </c>
      <c r="B19" t="s">
        <v>42</v>
      </c>
      <c r="C19">
        <v>9</v>
      </c>
      <c r="D19" t="s">
        <v>40</v>
      </c>
      <c r="E19" s="4">
        <v>46051.399305555555</v>
      </c>
      <c r="F19" s="10" t="s">
        <v>50</v>
      </c>
      <c r="G19" t="s">
        <v>161</v>
      </c>
      <c r="I19">
        <v>50</v>
      </c>
      <c r="J19" s="7">
        <v>8891862</v>
      </c>
      <c r="K19" t="s">
        <v>43</v>
      </c>
      <c r="L19" t="s">
        <v>19</v>
      </c>
      <c r="M19" t="s">
        <v>43</v>
      </c>
      <c r="N19" s="4">
        <v>46072</v>
      </c>
    </row>
    <row r="20" spans="1:14" x14ac:dyDescent="0.25">
      <c r="A20">
        <v>3</v>
      </c>
      <c r="B20" t="s">
        <v>51</v>
      </c>
      <c r="C20">
        <v>1</v>
      </c>
      <c r="D20" t="s">
        <v>15</v>
      </c>
      <c r="E20" s="4">
        <v>46099.40625</v>
      </c>
      <c r="F20" s="10" t="s">
        <v>16</v>
      </c>
      <c r="G20" t="s">
        <v>161</v>
      </c>
      <c r="J20" s="7">
        <v>9188273</v>
      </c>
      <c r="K20" t="s">
        <v>52</v>
      </c>
      <c r="L20" t="s">
        <v>53</v>
      </c>
      <c r="M20" t="s">
        <v>52</v>
      </c>
      <c r="N20" s="4">
        <v>46113</v>
      </c>
    </row>
    <row r="21" spans="1:14" x14ac:dyDescent="0.25">
      <c r="A21">
        <v>3</v>
      </c>
      <c r="B21" t="s">
        <v>51</v>
      </c>
      <c r="C21">
        <v>2</v>
      </c>
      <c r="D21" t="s">
        <v>22</v>
      </c>
      <c r="E21" s="4">
        <v>46099.40625</v>
      </c>
      <c r="F21" s="10" t="s">
        <v>16</v>
      </c>
      <c r="G21" t="s">
        <v>161</v>
      </c>
      <c r="J21" s="7">
        <v>9188273</v>
      </c>
      <c r="K21" t="s">
        <v>52</v>
      </c>
      <c r="L21" t="s">
        <v>53</v>
      </c>
      <c r="M21" t="s">
        <v>52</v>
      </c>
      <c r="N21" s="4">
        <v>46113</v>
      </c>
    </row>
    <row r="22" spans="1:14" x14ac:dyDescent="0.25">
      <c r="A22">
        <v>3</v>
      </c>
      <c r="B22" t="s">
        <v>51</v>
      </c>
      <c r="C22">
        <v>3</v>
      </c>
      <c r="D22" t="s">
        <v>23</v>
      </c>
      <c r="E22" s="4">
        <v>46099.40625</v>
      </c>
      <c r="F22" s="10" t="s">
        <v>54</v>
      </c>
      <c r="G22" t="s">
        <v>161</v>
      </c>
      <c r="H22">
        <v>6.9</v>
      </c>
      <c r="I22">
        <v>9.5</v>
      </c>
      <c r="J22" s="7">
        <v>9188273</v>
      </c>
      <c r="K22" t="s">
        <v>52</v>
      </c>
      <c r="L22" t="s">
        <v>53</v>
      </c>
      <c r="M22" t="s">
        <v>52</v>
      </c>
      <c r="N22" s="4">
        <v>46113</v>
      </c>
    </row>
    <row r="23" spans="1:14" x14ac:dyDescent="0.25">
      <c r="A23">
        <v>3</v>
      </c>
      <c r="B23" t="s">
        <v>51</v>
      </c>
      <c r="C23">
        <v>4</v>
      </c>
      <c r="D23" t="s">
        <v>26</v>
      </c>
      <c r="E23" s="4">
        <v>46099.40625</v>
      </c>
      <c r="F23" s="11">
        <v>671</v>
      </c>
      <c r="G23" t="s">
        <v>161</v>
      </c>
      <c r="I23">
        <v>2500</v>
      </c>
      <c r="J23" s="7">
        <v>9188273</v>
      </c>
      <c r="K23" t="s">
        <v>52</v>
      </c>
      <c r="L23" t="s">
        <v>53</v>
      </c>
      <c r="M23" t="s">
        <v>52</v>
      </c>
      <c r="N23" s="4">
        <v>46113</v>
      </c>
    </row>
    <row r="24" spans="1:14" x14ac:dyDescent="0.25">
      <c r="A24">
        <v>3</v>
      </c>
      <c r="B24" t="s">
        <v>51</v>
      </c>
      <c r="C24">
        <v>5</v>
      </c>
      <c r="D24" t="s">
        <v>29</v>
      </c>
      <c r="E24" s="4">
        <v>46099.40625</v>
      </c>
      <c r="F24" s="10" t="s">
        <v>55</v>
      </c>
      <c r="G24" t="s">
        <v>161</v>
      </c>
      <c r="I24">
        <v>5</v>
      </c>
      <c r="J24" s="7">
        <v>9188273</v>
      </c>
      <c r="K24" t="s">
        <v>52</v>
      </c>
      <c r="L24" t="s">
        <v>53</v>
      </c>
      <c r="M24" t="s">
        <v>52</v>
      </c>
      <c r="N24" s="4">
        <v>46113</v>
      </c>
    </row>
    <row r="25" spans="1:14" x14ac:dyDescent="0.25">
      <c r="A25">
        <v>3</v>
      </c>
      <c r="B25" t="s">
        <v>51</v>
      </c>
      <c r="C25">
        <v>6</v>
      </c>
      <c r="D25" t="s">
        <v>32</v>
      </c>
      <c r="E25" s="4">
        <v>46099.40625</v>
      </c>
      <c r="F25" s="10" t="s">
        <v>56</v>
      </c>
      <c r="G25" t="s">
        <v>161</v>
      </c>
      <c r="I25">
        <v>1</v>
      </c>
      <c r="J25" s="7">
        <v>9188273</v>
      </c>
      <c r="K25" t="s">
        <v>52</v>
      </c>
      <c r="L25" t="s">
        <v>53</v>
      </c>
      <c r="M25" t="s">
        <v>52</v>
      </c>
      <c r="N25" s="4">
        <v>46113</v>
      </c>
    </row>
    <row r="26" spans="1:14" x14ac:dyDescent="0.25">
      <c r="A26">
        <v>3</v>
      </c>
      <c r="B26" t="s">
        <v>51</v>
      </c>
      <c r="C26">
        <v>7</v>
      </c>
      <c r="D26" t="s">
        <v>35</v>
      </c>
      <c r="E26" s="4">
        <v>45833</v>
      </c>
      <c r="F26" s="10">
        <v>248.7</v>
      </c>
      <c r="G26" t="s">
        <v>161</v>
      </c>
      <c r="I26">
        <v>500</v>
      </c>
      <c r="J26">
        <v>8891839</v>
      </c>
      <c r="K26" t="s">
        <v>52</v>
      </c>
      <c r="L26" t="s">
        <v>53</v>
      </c>
      <c r="M26" s="6" t="s">
        <v>52</v>
      </c>
      <c r="N26" s="4">
        <v>45861</v>
      </c>
    </row>
    <row r="27" spans="1:14" x14ac:dyDescent="0.25">
      <c r="A27">
        <v>3</v>
      </c>
      <c r="B27" t="s">
        <v>51</v>
      </c>
      <c r="C27">
        <v>8</v>
      </c>
      <c r="D27" t="s">
        <v>38</v>
      </c>
      <c r="E27" s="4">
        <v>46090</v>
      </c>
      <c r="F27" s="10" t="s">
        <v>57</v>
      </c>
      <c r="G27" t="s">
        <v>161</v>
      </c>
      <c r="I27">
        <v>250</v>
      </c>
      <c r="J27" s="7">
        <v>8874958</v>
      </c>
      <c r="K27" t="s">
        <v>58</v>
      </c>
      <c r="L27" t="s">
        <v>59</v>
      </c>
      <c r="M27" t="s">
        <v>58</v>
      </c>
      <c r="N27" s="4">
        <v>46100</v>
      </c>
    </row>
    <row r="28" spans="1:14" x14ac:dyDescent="0.25">
      <c r="A28">
        <v>3</v>
      </c>
      <c r="B28" t="s">
        <v>51</v>
      </c>
      <c r="C28">
        <v>9</v>
      </c>
      <c r="D28" t="s">
        <v>40</v>
      </c>
      <c r="E28" s="4">
        <v>46090</v>
      </c>
      <c r="F28" s="10" t="s">
        <v>60</v>
      </c>
      <c r="G28" t="s">
        <v>161</v>
      </c>
      <c r="I28">
        <v>50</v>
      </c>
      <c r="J28" s="7">
        <v>8874958</v>
      </c>
      <c r="K28" t="s">
        <v>58</v>
      </c>
      <c r="L28" t="s">
        <v>59</v>
      </c>
      <c r="M28" t="s">
        <v>58</v>
      </c>
      <c r="N28" s="4">
        <v>46100</v>
      </c>
    </row>
    <row r="29" spans="1:14" x14ac:dyDescent="0.25">
      <c r="A29">
        <v>4</v>
      </c>
      <c r="B29" t="s">
        <v>61</v>
      </c>
      <c r="C29">
        <v>1</v>
      </c>
      <c r="D29" t="s">
        <v>15</v>
      </c>
      <c r="E29" s="4">
        <v>46104.357638888891</v>
      </c>
      <c r="F29" s="10" t="s">
        <v>16</v>
      </c>
      <c r="G29" t="s">
        <v>161</v>
      </c>
      <c r="J29" s="7">
        <v>9155881</v>
      </c>
      <c r="K29" t="s">
        <v>62</v>
      </c>
      <c r="L29" t="s">
        <v>19</v>
      </c>
      <c r="M29" t="s">
        <v>62</v>
      </c>
      <c r="N29" s="4">
        <v>46113</v>
      </c>
    </row>
    <row r="30" spans="1:14" x14ac:dyDescent="0.25">
      <c r="A30">
        <v>4</v>
      </c>
      <c r="B30" t="s">
        <v>61</v>
      </c>
      <c r="C30">
        <v>2</v>
      </c>
      <c r="D30" t="s">
        <v>22</v>
      </c>
      <c r="E30" s="4">
        <v>46104.357638888891</v>
      </c>
      <c r="F30" s="10" t="s">
        <v>16</v>
      </c>
      <c r="G30" t="s">
        <v>161</v>
      </c>
      <c r="J30" s="7">
        <v>9155881</v>
      </c>
      <c r="K30" t="s">
        <v>62</v>
      </c>
      <c r="L30" t="s">
        <v>19</v>
      </c>
      <c r="M30" t="s">
        <v>62</v>
      </c>
      <c r="N30" s="4">
        <v>46113</v>
      </c>
    </row>
    <row r="31" spans="1:14" x14ac:dyDescent="0.25">
      <c r="A31">
        <v>4</v>
      </c>
      <c r="B31" t="s">
        <v>61</v>
      </c>
      <c r="C31">
        <v>3</v>
      </c>
      <c r="D31" t="s">
        <v>23</v>
      </c>
      <c r="E31" s="4">
        <v>46104.357638888891</v>
      </c>
      <c r="F31" s="10" t="s">
        <v>63</v>
      </c>
      <c r="G31" t="s">
        <v>161</v>
      </c>
      <c r="H31">
        <v>6.9</v>
      </c>
      <c r="I31">
        <v>9.5</v>
      </c>
      <c r="J31" s="7">
        <v>9155881</v>
      </c>
      <c r="K31" t="s">
        <v>62</v>
      </c>
      <c r="L31" t="s">
        <v>19</v>
      </c>
      <c r="M31" t="s">
        <v>62</v>
      </c>
      <c r="N31" s="4">
        <v>46113</v>
      </c>
    </row>
    <row r="32" spans="1:14" x14ac:dyDescent="0.25">
      <c r="A32">
        <v>4</v>
      </c>
      <c r="B32" t="s">
        <v>61</v>
      </c>
      <c r="C32">
        <v>4</v>
      </c>
      <c r="D32" t="s">
        <v>26</v>
      </c>
      <c r="E32" s="4">
        <v>46104.357638888891</v>
      </c>
      <c r="F32" s="11">
        <v>518</v>
      </c>
      <c r="G32" t="s">
        <v>161</v>
      </c>
      <c r="I32">
        <v>2500</v>
      </c>
      <c r="J32" s="7">
        <v>9155881</v>
      </c>
      <c r="K32" t="s">
        <v>62</v>
      </c>
      <c r="L32" t="s">
        <v>19</v>
      </c>
      <c r="M32" t="s">
        <v>62</v>
      </c>
      <c r="N32" s="4">
        <v>46113</v>
      </c>
    </row>
    <row r="33" spans="1:14" x14ac:dyDescent="0.25">
      <c r="A33">
        <v>4</v>
      </c>
      <c r="B33" t="s">
        <v>61</v>
      </c>
      <c r="C33">
        <v>5</v>
      </c>
      <c r="D33" t="s">
        <v>29</v>
      </c>
      <c r="E33" s="4">
        <v>46104.357638888891</v>
      </c>
      <c r="F33" s="10" t="s">
        <v>30</v>
      </c>
      <c r="G33" t="s">
        <v>161</v>
      </c>
      <c r="I33">
        <v>5</v>
      </c>
      <c r="J33" s="7">
        <v>9155881</v>
      </c>
      <c r="K33" t="s">
        <v>62</v>
      </c>
      <c r="L33" t="s">
        <v>19</v>
      </c>
      <c r="M33" t="s">
        <v>62</v>
      </c>
      <c r="N33" s="4">
        <v>46113</v>
      </c>
    </row>
    <row r="34" spans="1:14" x14ac:dyDescent="0.25">
      <c r="A34">
        <v>4</v>
      </c>
      <c r="B34" t="s">
        <v>61</v>
      </c>
      <c r="C34">
        <v>6</v>
      </c>
      <c r="D34" t="s">
        <v>32</v>
      </c>
      <c r="E34" s="4">
        <v>46104.357638888891</v>
      </c>
      <c r="F34" s="10" t="s">
        <v>64</v>
      </c>
      <c r="G34" t="s">
        <v>161</v>
      </c>
      <c r="I34">
        <v>1</v>
      </c>
      <c r="J34" s="7">
        <v>9155881</v>
      </c>
      <c r="K34" t="s">
        <v>62</v>
      </c>
      <c r="L34" t="s">
        <v>19</v>
      </c>
      <c r="M34" t="s">
        <v>62</v>
      </c>
      <c r="N34" s="4">
        <v>46113</v>
      </c>
    </row>
    <row r="35" spans="1:14" x14ac:dyDescent="0.25">
      <c r="A35">
        <v>4</v>
      </c>
      <c r="B35" t="s">
        <v>61</v>
      </c>
      <c r="C35">
        <v>7</v>
      </c>
      <c r="D35" t="s">
        <v>35</v>
      </c>
      <c r="E35" s="4">
        <v>46052.375</v>
      </c>
      <c r="F35" s="10" t="s">
        <v>65</v>
      </c>
      <c r="G35" t="s">
        <v>161</v>
      </c>
      <c r="I35">
        <v>500</v>
      </c>
      <c r="J35">
        <v>8891863</v>
      </c>
      <c r="K35" t="s">
        <v>62</v>
      </c>
      <c r="L35" t="s">
        <v>19</v>
      </c>
      <c r="M35" t="s">
        <v>62</v>
      </c>
      <c r="N35" s="4">
        <v>46072</v>
      </c>
    </row>
    <row r="36" spans="1:14" x14ac:dyDescent="0.25">
      <c r="A36">
        <v>4</v>
      </c>
      <c r="B36" t="s">
        <v>61</v>
      </c>
      <c r="C36">
        <v>8</v>
      </c>
      <c r="D36" t="s">
        <v>38</v>
      </c>
      <c r="E36" s="4">
        <v>46052.375</v>
      </c>
      <c r="F36" s="10" t="s">
        <v>66</v>
      </c>
      <c r="G36" t="s">
        <v>161</v>
      </c>
      <c r="I36">
        <v>250</v>
      </c>
      <c r="J36" s="7">
        <v>8891863</v>
      </c>
      <c r="K36" t="s">
        <v>62</v>
      </c>
      <c r="L36" t="s">
        <v>19</v>
      </c>
      <c r="M36" t="s">
        <v>62</v>
      </c>
      <c r="N36" s="4">
        <v>46072</v>
      </c>
    </row>
    <row r="37" spans="1:14" x14ac:dyDescent="0.25">
      <c r="A37">
        <v>4</v>
      </c>
      <c r="B37" t="s">
        <v>61</v>
      </c>
      <c r="C37">
        <v>9</v>
      </c>
      <c r="D37" t="s">
        <v>40</v>
      </c>
      <c r="E37" s="4">
        <v>46052.375</v>
      </c>
      <c r="F37" s="10" t="s">
        <v>67</v>
      </c>
      <c r="G37" t="s">
        <v>161</v>
      </c>
      <c r="I37">
        <v>50</v>
      </c>
      <c r="J37" s="7">
        <v>8891863</v>
      </c>
      <c r="K37" t="s">
        <v>62</v>
      </c>
      <c r="L37" t="s">
        <v>19</v>
      </c>
      <c r="M37" t="s">
        <v>62</v>
      </c>
      <c r="N37" s="4">
        <v>46072</v>
      </c>
    </row>
    <row r="38" spans="1:14" x14ac:dyDescent="0.25">
      <c r="A38">
        <v>5</v>
      </c>
      <c r="B38" t="s">
        <v>68</v>
      </c>
      <c r="C38">
        <v>1</v>
      </c>
      <c r="D38" t="s">
        <v>15</v>
      </c>
      <c r="E38" s="4">
        <v>46106.395833333336</v>
      </c>
      <c r="F38" s="10" t="s">
        <v>16</v>
      </c>
      <c r="G38" t="s">
        <v>161</v>
      </c>
      <c r="J38" s="7">
        <v>9155882</v>
      </c>
      <c r="K38" t="s">
        <v>69</v>
      </c>
      <c r="L38" t="s">
        <v>19</v>
      </c>
      <c r="M38" t="s">
        <v>69</v>
      </c>
      <c r="N38" s="4">
        <v>46119</v>
      </c>
    </row>
    <row r="39" spans="1:14" x14ac:dyDescent="0.25">
      <c r="A39">
        <v>5</v>
      </c>
      <c r="B39" t="s">
        <v>68</v>
      </c>
      <c r="C39">
        <v>2</v>
      </c>
      <c r="D39" t="s">
        <v>22</v>
      </c>
      <c r="E39" s="4">
        <v>46106.395833333336</v>
      </c>
      <c r="F39" s="10" t="s">
        <v>16</v>
      </c>
      <c r="G39" t="s">
        <v>161</v>
      </c>
      <c r="J39" s="7">
        <v>9155882</v>
      </c>
      <c r="K39" t="s">
        <v>69</v>
      </c>
      <c r="L39" t="s">
        <v>19</v>
      </c>
      <c r="M39" t="s">
        <v>69</v>
      </c>
      <c r="N39" s="4">
        <v>46119</v>
      </c>
    </row>
    <row r="40" spans="1:14" x14ac:dyDescent="0.25">
      <c r="A40">
        <v>5</v>
      </c>
      <c r="B40" t="s">
        <v>68</v>
      </c>
      <c r="C40">
        <v>3</v>
      </c>
      <c r="D40" t="s">
        <v>23</v>
      </c>
      <c r="E40" s="4">
        <v>46106.395833333336</v>
      </c>
      <c r="F40" s="10" t="s">
        <v>70</v>
      </c>
      <c r="G40" t="s">
        <v>161</v>
      </c>
      <c r="H40">
        <v>6.9</v>
      </c>
      <c r="I40">
        <v>9.5</v>
      </c>
      <c r="J40" s="7">
        <v>9155882</v>
      </c>
      <c r="K40" t="s">
        <v>69</v>
      </c>
      <c r="L40" t="s">
        <v>19</v>
      </c>
      <c r="M40" t="s">
        <v>69</v>
      </c>
      <c r="N40" s="4">
        <v>46119</v>
      </c>
    </row>
    <row r="41" spans="1:14" x14ac:dyDescent="0.25">
      <c r="A41">
        <v>5</v>
      </c>
      <c r="B41" t="s">
        <v>68</v>
      </c>
      <c r="C41">
        <v>4</v>
      </c>
      <c r="D41" t="s">
        <v>26</v>
      </c>
      <c r="E41" s="4">
        <v>46106.395833333336</v>
      </c>
      <c r="F41" s="11">
        <v>505</v>
      </c>
      <c r="G41" t="s">
        <v>161</v>
      </c>
      <c r="I41">
        <v>2500</v>
      </c>
      <c r="J41" s="7">
        <v>9155882</v>
      </c>
      <c r="K41" t="s">
        <v>69</v>
      </c>
      <c r="L41" t="s">
        <v>19</v>
      </c>
      <c r="M41" t="s">
        <v>69</v>
      </c>
      <c r="N41" s="4">
        <v>46119</v>
      </c>
    </row>
    <row r="42" spans="1:14" x14ac:dyDescent="0.25">
      <c r="A42">
        <v>5</v>
      </c>
      <c r="B42" t="s">
        <v>68</v>
      </c>
      <c r="C42">
        <v>5</v>
      </c>
      <c r="D42" t="s">
        <v>29</v>
      </c>
      <c r="E42" s="4">
        <v>46106.395833333336</v>
      </c>
      <c r="F42" s="10" t="s">
        <v>71</v>
      </c>
      <c r="G42" t="s">
        <v>161</v>
      </c>
      <c r="I42">
        <v>5</v>
      </c>
      <c r="J42" s="7">
        <v>9155882</v>
      </c>
      <c r="K42" t="s">
        <v>69</v>
      </c>
      <c r="L42" t="s">
        <v>19</v>
      </c>
      <c r="M42" t="s">
        <v>69</v>
      </c>
      <c r="N42" s="4">
        <v>46119</v>
      </c>
    </row>
    <row r="43" spans="1:14" x14ac:dyDescent="0.25">
      <c r="A43">
        <v>5</v>
      </c>
      <c r="B43" t="s">
        <v>68</v>
      </c>
      <c r="C43">
        <v>6</v>
      </c>
      <c r="D43" t="s">
        <v>32</v>
      </c>
      <c r="E43" s="4">
        <v>46106.395833333336</v>
      </c>
      <c r="F43" s="10" t="s">
        <v>72</v>
      </c>
      <c r="G43" t="s">
        <v>161</v>
      </c>
      <c r="I43">
        <v>1</v>
      </c>
      <c r="J43" s="7">
        <v>9155882</v>
      </c>
      <c r="K43" t="s">
        <v>69</v>
      </c>
      <c r="L43" t="s">
        <v>19</v>
      </c>
      <c r="M43" t="s">
        <v>69</v>
      </c>
      <c r="N43" s="4">
        <v>46119</v>
      </c>
    </row>
    <row r="44" spans="1:14" x14ac:dyDescent="0.25">
      <c r="A44">
        <v>5</v>
      </c>
      <c r="B44" t="s">
        <v>68</v>
      </c>
      <c r="C44">
        <v>7</v>
      </c>
      <c r="D44" t="s">
        <v>35</v>
      </c>
      <c r="E44" s="4">
        <v>46052.458333333336</v>
      </c>
      <c r="F44" s="10" t="s">
        <v>73</v>
      </c>
      <c r="G44" t="s">
        <v>161</v>
      </c>
      <c r="I44">
        <v>500</v>
      </c>
      <c r="J44">
        <v>8891869</v>
      </c>
      <c r="K44" t="s">
        <v>69</v>
      </c>
      <c r="L44" t="s">
        <v>19</v>
      </c>
      <c r="M44" t="s">
        <v>69</v>
      </c>
      <c r="N44" s="4">
        <v>46072</v>
      </c>
    </row>
    <row r="45" spans="1:14" x14ac:dyDescent="0.25">
      <c r="A45">
        <v>5</v>
      </c>
      <c r="B45" t="s">
        <v>68</v>
      </c>
      <c r="C45">
        <v>8</v>
      </c>
      <c r="D45" t="s">
        <v>38</v>
      </c>
      <c r="E45" s="4">
        <v>46052.458333333336</v>
      </c>
      <c r="F45" s="10" t="s">
        <v>74</v>
      </c>
      <c r="G45" t="s">
        <v>161</v>
      </c>
      <c r="I45">
        <v>250</v>
      </c>
      <c r="J45" s="7">
        <v>8891869</v>
      </c>
      <c r="K45" t="s">
        <v>69</v>
      </c>
      <c r="L45" t="s">
        <v>19</v>
      </c>
      <c r="M45" t="s">
        <v>69</v>
      </c>
      <c r="N45" s="4">
        <v>46072</v>
      </c>
    </row>
    <row r="46" spans="1:14" x14ac:dyDescent="0.25">
      <c r="A46">
        <v>5</v>
      </c>
      <c r="B46" t="s">
        <v>68</v>
      </c>
      <c r="C46">
        <v>9</v>
      </c>
      <c r="D46" t="s">
        <v>40</v>
      </c>
      <c r="E46" s="4">
        <v>46052.458333333336</v>
      </c>
      <c r="F46" s="10" t="s">
        <v>75</v>
      </c>
      <c r="G46" t="s">
        <v>161</v>
      </c>
      <c r="I46">
        <v>50</v>
      </c>
      <c r="J46" s="7">
        <v>8891869</v>
      </c>
      <c r="K46" t="s">
        <v>69</v>
      </c>
      <c r="L46" t="s">
        <v>19</v>
      </c>
      <c r="M46" t="s">
        <v>69</v>
      </c>
      <c r="N46" s="4">
        <v>46072</v>
      </c>
    </row>
    <row r="47" spans="1:14" x14ac:dyDescent="0.25">
      <c r="A47">
        <v>6</v>
      </c>
      <c r="B47" t="s">
        <v>76</v>
      </c>
      <c r="C47">
        <v>1</v>
      </c>
      <c r="D47" t="s">
        <v>15</v>
      </c>
      <c r="E47" s="4">
        <v>46106.340277777781</v>
      </c>
      <c r="F47" s="10" t="s">
        <v>16</v>
      </c>
      <c r="G47" t="s">
        <v>161</v>
      </c>
      <c r="J47" s="7">
        <v>9155883</v>
      </c>
      <c r="K47" t="s">
        <v>77</v>
      </c>
      <c r="L47" t="s">
        <v>19</v>
      </c>
      <c r="M47" t="s">
        <v>77</v>
      </c>
      <c r="N47" s="4">
        <v>46119</v>
      </c>
    </row>
    <row r="48" spans="1:14" x14ac:dyDescent="0.25">
      <c r="A48">
        <v>6</v>
      </c>
      <c r="B48" t="s">
        <v>76</v>
      </c>
      <c r="C48">
        <v>2</v>
      </c>
      <c r="D48" t="s">
        <v>22</v>
      </c>
      <c r="E48" s="4">
        <v>46106.340277777781</v>
      </c>
      <c r="F48" s="10" t="s">
        <v>16</v>
      </c>
      <c r="G48" t="s">
        <v>161</v>
      </c>
      <c r="J48" s="7">
        <v>9155883</v>
      </c>
      <c r="K48" t="s">
        <v>77</v>
      </c>
      <c r="L48" t="s">
        <v>19</v>
      </c>
      <c r="M48" t="s">
        <v>77</v>
      </c>
      <c r="N48" s="4">
        <v>46119</v>
      </c>
    </row>
    <row r="49" spans="1:14" x14ac:dyDescent="0.25">
      <c r="A49">
        <v>6</v>
      </c>
      <c r="B49" t="s">
        <v>76</v>
      </c>
      <c r="C49">
        <v>3</v>
      </c>
      <c r="D49" t="s">
        <v>23</v>
      </c>
      <c r="E49" s="4">
        <v>46106.340277777781</v>
      </c>
      <c r="F49" s="10" t="s">
        <v>24</v>
      </c>
      <c r="G49" t="s">
        <v>161</v>
      </c>
      <c r="H49">
        <v>6.9</v>
      </c>
      <c r="I49">
        <v>9.5</v>
      </c>
      <c r="J49" s="7">
        <v>9155883</v>
      </c>
      <c r="K49" t="s">
        <v>77</v>
      </c>
      <c r="L49" t="s">
        <v>19</v>
      </c>
      <c r="M49" t="s">
        <v>77</v>
      </c>
      <c r="N49" s="4">
        <v>46119</v>
      </c>
    </row>
    <row r="50" spans="1:14" x14ac:dyDescent="0.25">
      <c r="A50">
        <v>6</v>
      </c>
      <c r="B50" t="s">
        <v>76</v>
      </c>
      <c r="C50">
        <v>4</v>
      </c>
      <c r="D50" t="s">
        <v>26</v>
      </c>
      <c r="E50" s="4">
        <v>46106.340277777781</v>
      </c>
      <c r="F50" s="11">
        <v>1842</v>
      </c>
      <c r="G50" t="s">
        <v>161</v>
      </c>
      <c r="I50">
        <v>2500</v>
      </c>
      <c r="J50" s="7">
        <v>9155883</v>
      </c>
      <c r="K50" t="s">
        <v>77</v>
      </c>
      <c r="L50" t="s">
        <v>19</v>
      </c>
      <c r="M50" t="s">
        <v>77</v>
      </c>
      <c r="N50" s="4">
        <v>46119</v>
      </c>
    </row>
    <row r="51" spans="1:14" x14ac:dyDescent="0.25">
      <c r="A51">
        <v>6</v>
      </c>
      <c r="B51" t="s">
        <v>76</v>
      </c>
      <c r="C51">
        <v>5</v>
      </c>
      <c r="D51" t="s">
        <v>29</v>
      </c>
      <c r="E51" s="4">
        <v>46106.340277777781</v>
      </c>
      <c r="F51" s="10" t="s">
        <v>78</v>
      </c>
      <c r="G51" t="s">
        <v>161</v>
      </c>
      <c r="I51">
        <v>5</v>
      </c>
      <c r="J51" s="7">
        <v>9155883</v>
      </c>
      <c r="K51" t="s">
        <v>77</v>
      </c>
      <c r="L51" t="s">
        <v>19</v>
      </c>
      <c r="M51" t="s">
        <v>77</v>
      </c>
      <c r="N51" s="4">
        <v>46119</v>
      </c>
    </row>
    <row r="52" spans="1:14" x14ac:dyDescent="0.25">
      <c r="A52">
        <v>6</v>
      </c>
      <c r="B52" t="s">
        <v>76</v>
      </c>
      <c r="C52">
        <v>6</v>
      </c>
      <c r="D52" t="s">
        <v>32</v>
      </c>
      <c r="E52" s="4">
        <v>46106.340277777781</v>
      </c>
      <c r="F52" s="10" t="s">
        <v>79</v>
      </c>
      <c r="G52" t="s">
        <v>161</v>
      </c>
      <c r="I52">
        <v>1</v>
      </c>
      <c r="J52" s="7">
        <v>9155883</v>
      </c>
      <c r="K52" t="s">
        <v>77</v>
      </c>
      <c r="L52" t="s">
        <v>19</v>
      </c>
      <c r="M52" t="s">
        <v>77</v>
      </c>
      <c r="N52" s="4">
        <v>46119</v>
      </c>
    </row>
    <row r="53" spans="1:14" x14ac:dyDescent="0.25">
      <c r="A53">
        <v>6</v>
      </c>
      <c r="B53" t="s">
        <v>76</v>
      </c>
      <c r="C53">
        <v>7</v>
      </c>
      <c r="D53" t="s">
        <v>35</v>
      </c>
      <c r="E53" s="4">
        <v>46077</v>
      </c>
      <c r="F53" s="10" t="s">
        <v>80</v>
      </c>
      <c r="G53" t="s">
        <v>161</v>
      </c>
      <c r="I53">
        <v>500</v>
      </c>
      <c r="J53">
        <v>9501322</v>
      </c>
      <c r="K53" t="s">
        <v>81</v>
      </c>
      <c r="L53" t="s">
        <v>19</v>
      </c>
      <c r="M53" t="s">
        <v>81</v>
      </c>
      <c r="N53" s="4">
        <v>46092</v>
      </c>
    </row>
    <row r="54" spans="1:14" x14ac:dyDescent="0.25">
      <c r="A54">
        <v>6</v>
      </c>
      <c r="B54" t="s">
        <v>76</v>
      </c>
      <c r="C54">
        <v>8</v>
      </c>
      <c r="D54" t="s">
        <v>38</v>
      </c>
      <c r="E54" s="4">
        <v>46077</v>
      </c>
      <c r="F54" s="10" t="s">
        <v>82</v>
      </c>
      <c r="G54" t="s">
        <v>161</v>
      </c>
      <c r="I54">
        <v>250</v>
      </c>
      <c r="J54" s="7">
        <v>9501322</v>
      </c>
      <c r="K54" t="s">
        <v>81</v>
      </c>
      <c r="L54" t="s">
        <v>19</v>
      </c>
      <c r="M54" t="s">
        <v>81</v>
      </c>
      <c r="N54" s="4">
        <v>46092</v>
      </c>
    </row>
    <row r="55" spans="1:14" x14ac:dyDescent="0.25">
      <c r="A55">
        <v>6</v>
      </c>
      <c r="B55" t="s">
        <v>76</v>
      </c>
      <c r="C55">
        <v>9</v>
      </c>
      <c r="D55" t="s">
        <v>40</v>
      </c>
      <c r="E55" s="4">
        <v>46052.416666666664</v>
      </c>
      <c r="F55" s="10" t="s">
        <v>83</v>
      </c>
      <c r="G55" t="s">
        <v>161</v>
      </c>
      <c r="I55">
        <v>50</v>
      </c>
      <c r="J55" s="7">
        <v>8891864</v>
      </c>
      <c r="K55" t="s">
        <v>81</v>
      </c>
      <c r="L55" t="s">
        <v>19</v>
      </c>
      <c r="M55" t="s">
        <v>81</v>
      </c>
      <c r="N55" s="4">
        <v>46072</v>
      </c>
    </row>
    <row r="56" spans="1:14" x14ac:dyDescent="0.25">
      <c r="A56">
        <v>7</v>
      </c>
      <c r="B56" t="s">
        <v>84</v>
      </c>
      <c r="C56">
        <v>1</v>
      </c>
      <c r="D56" t="s">
        <v>15</v>
      </c>
      <c r="E56" s="4">
        <v>46106.322916666664</v>
      </c>
      <c r="F56" s="10" t="s">
        <v>16</v>
      </c>
      <c r="G56" t="s">
        <v>161</v>
      </c>
      <c r="J56" s="7">
        <v>9155884</v>
      </c>
      <c r="K56" t="s">
        <v>85</v>
      </c>
      <c r="L56" t="s">
        <v>19</v>
      </c>
      <c r="M56" t="s">
        <v>85</v>
      </c>
      <c r="N56" s="4">
        <v>46119</v>
      </c>
    </row>
    <row r="57" spans="1:14" x14ac:dyDescent="0.25">
      <c r="A57">
        <v>7</v>
      </c>
      <c r="B57" t="s">
        <v>84</v>
      </c>
      <c r="C57">
        <v>2</v>
      </c>
      <c r="D57" t="s">
        <v>22</v>
      </c>
      <c r="E57" s="4">
        <v>46106.322916666664</v>
      </c>
      <c r="F57" s="10" t="s">
        <v>16</v>
      </c>
      <c r="G57" t="s">
        <v>161</v>
      </c>
      <c r="J57" s="7">
        <v>9155884</v>
      </c>
      <c r="K57" t="s">
        <v>85</v>
      </c>
      <c r="L57" t="s">
        <v>19</v>
      </c>
      <c r="M57" t="s">
        <v>85</v>
      </c>
      <c r="N57" s="4">
        <v>46119</v>
      </c>
    </row>
    <row r="58" spans="1:14" x14ac:dyDescent="0.25">
      <c r="A58">
        <v>7</v>
      </c>
      <c r="B58" t="s">
        <v>84</v>
      </c>
      <c r="C58">
        <v>3</v>
      </c>
      <c r="D58" t="s">
        <v>23</v>
      </c>
      <c r="E58" s="4">
        <v>46106.322916666664</v>
      </c>
      <c r="F58" s="10" t="s">
        <v>63</v>
      </c>
      <c r="G58" t="s">
        <v>161</v>
      </c>
      <c r="H58">
        <v>6.9</v>
      </c>
      <c r="I58">
        <v>9.5</v>
      </c>
      <c r="J58" s="7">
        <v>9155884</v>
      </c>
      <c r="K58" t="s">
        <v>85</v>
      </c>
      <c r="L58" t="s">
        <v>19</v>
      </c>
      <c r="M58" t="s">
        <v>85</v>
      </c>
      <c r="N58" s="4">
        <v>46119</v>
      </c>
    </row>
    <row r="59" spans="1:14" x14ac:dyDescent="0.25">
      <c r="A59">
        <v>7</v>
      </c>
      <c r="B59" t="s">
        <v>84</v>
      </c>
      <c r="C59">
        <v>4</v>
      </c>
      <c r="D59" t="s">
        <v>26</v>
      </c>
      <c r="E59" s="4">
        <v>46106.322916666664</v>
      </c>
      <c r="F59" s="11">
        <v>770</v>
      </c>
      <c r="G59" t="s">
        <v>161</v>
      </c>
      <c r="I59">
        <v>2500</v>
      </c>
      <c r="J59" s="7">
        <v>9155884</v>
      </c>
      <c r="K59" t="s">
        <v>85</v>
      </c>
      <c r="L59" t="s">
        <v>19</v>
      </c>
      <c r="M59" t="s">
        <v>85</v>
      </c>
      <c r="N59" s="4">
        <v>46119</v>
      </c>
    </row>
    <row r="60" spans="1:14" x14ac:dyDescent="0.25">
      <c r="A60">
        <v>7</v>
      </c>
      <c r="B60" t="s">
        <v>84</v>
      </c>
      <c r="C60">
        <v>5</v>
      </c>
      <c r="D60" t="s">
        <v>29</v>
      </c>
      <c r="E60" s="4">
        <v>46106.322916666664</v>
      </c>
      <c r="F60" s="10" t="s">
        <v>30</v>
      </c>
      <c r="G60" t="s">
        <v>161</v>
      </c>
      <c r="I60">
        <v>5</v>
      </c>
      <c r="J60" s="7">
        <v>9155884</v>
      </c>
      <c r="K60" t="s">
        <v>85</v>
      </c>
      <c r="L60" t="s">
        <v>19</v>
      </c>
      <c r="M60" t="s">
        <v>85</v>
      </c>
      <c r="N60" s="4">
        <v>46119</v>
      </c>
    </row>
    <row r="61" spans="1:14" x14ac:dyDescent="0.25">
      <c r="A61">
        <v>7</v>
      </c>
      <c r="B61" t="s">
        <v>84</v>
      </c>
      <c r="C61">
        <v>6</v>
      </c>
      <c r="D61" t="s">
        <v>32</v>
      </c>
      <c r="E61" s="4">
        <v>46106.322916666664</v>
      </c>
      <c r="F61" s="10" t="s">
        <v>86</v>
      </c>
      <c r="G61" t="s">
        <v>161</v>
      </c>
      <c r="I61">
        <v>1</v>
      </c>
      <c r="J61" s="7">
        <v>9155884</v>
      </c>
      <c r="K61" t="s">
        <v>85</v>
      </c>
      <c r="L61" t="s">
        <v>19</v>
      </c>
      <c r="M61" t="s">
        <v>85</v>
      </c>
      <c r="N61" s="4">
        <v>46119</v>
      </c>
    </row>
    <row r="62" spans="1:14" x14ac:dyDescent="0.25">
      <c r="A62">
        <v>7</v>
      </c>
      <c r="B62" t="s">
        <v>84</v>
      </c>
      <c r="C62">
        <v>7</v>
      </c>
      <c r="D62" t="s">
        <v>35</v>
      </c>
      <c r="E62" s="4">
        <v>45931</v>
      </c>
      <c r="F62" s="10" t="s">
        <v>156</v>
      </c>
      <c r="G62" t="s">
        <v>161</v>
      </c>
      <c r="I62">
        <v>500</v>
      </c>
      <c r="J62">
        <v>8891852</v>
      </c>
      <c r="K62" s="6" t="s">
        <v>153</v>
      </c>
      <c r="L62" t="s">
        <v>53</v>
      </c>
      <c r="M62" t="s">
        <v>155</v>
      </c>
      <c r="N62" s="4">
        <v>45960</v>
      </c>
    </row>
    <row r="63" spans="1:14" x14ac:dyDescent="0.25">
      <c r="A63">
        <v>7</v>
      </c>
      <c r="B63" t="s">
        <v>84</v>
      </c>
      <c r="C63">
        <v>8</v>
      </c>
      <c r="D63" t="s">
        <v>38</v>
      </c>
      <c r="E63" s="4">
        <v>46099</v>
      </c>
      <c r="F63" s="10" t="s">
        <v>87</v>
      </c>
      <c r="G63" t="s">
        <v>161</v>
      </c>
      <c r="I63">
        <v>250</v>
      </c>
      <c r="J63" s="7">
        <v>8874956</v>
      </c>
      <c r="K63" t="s">
        <v>88</v>
      </c>
      <c r="L63" t="s">
        <v>59</v>
      </c>
      <c r="M63" t="s">
        <v>155</v>
      </c>
      <c r="N63" s="4">
        <v>46108</v>
      </c>
    </row>
    <row r="64" spans="1:14" x14ac:dyDescent="0.25">
      <c r="A64">
        <v>7</v>
      </c>
      <c r="B64" t="s">
        <v>84</v>
      </c>
      <c r="C64">
        <v>9</v>
      </c>
      <c r="D64" t="s">
        <v>40</v>
      </c>
      <c r="E64" s="4">
        <v>46099</v>
      </c>
      <c r="F64" s="10" t="s">
        <v>89</v>
      </c>
      <c r="G64" t="s">
        <v>161</v>
      </c>
      <c r="I64">
        <v>50</v>
      </c>
      <c r="J64" s="7">
        <v>8874956</v>
      </c>
      <c r="K64" t="s">
        <v>88</v>
      </c>
      <c r="L64" t="s">
        <v>59</v>
      </c>
      <c r="M64" t="s">
        <v>155</v>
      </c>
      <c r="N64" s="4">
        <v>46108</v>
      </c>
    </row>
    <row r="65" spans="1:14" x14ac:dyDescent="0.25">
      <c r="A65">
        <v>8</v>
      </c>
      <c r="B65" t="s">
        <v>90</v>
      </c>
      <c r="C65">
        <v>1</v>
      </c>
      <c r="D65" t="s">
        <v>15</v>
      </c>
      <c r="E65" s="4">
        <v>46052.430555555555</v>
      </c>
      <c r="F65" s="10" t="s">
        <v>16</v>
      </c>
      <c r="G65" t="s">
        <v>161</v>
      </c>
      <c r="J65" s="7">
        <v>9155877</v>
      </c>
      <c r="K65" t="s">
        <v>91</v>
      </c>
      <c r="L65" t="s">
        <v>19</v>
      </c>
      <c r="M65" t="s">
        <v>155</v>
      </c>
      <c r="N65" s="4">
        <v>46058</v>
      </c>
    </row>
    <row r="66" spans="1:14" x14ac:dyDescent="0.25">
      <c r="A66">
        <v>8</v>
      </c>
      <c r="B66" t="s">
        <v>90</v>
      </c>
      <c r="C66">
        <v>2</v>
      </c>
      <c r="D66" t="s">
        <v>22</v>
      </c>
      <c r="E66" s="4">
        <v>46052.430555555555</v>
      </c>
      <c r="F66" s="10" t="s">
        <v>16</v>
      </c>
      <c r="G66" t="s">
        <v>161</v>
      </c>
      <c r="J66" s="7">
        <v>9155877</v>
      </c>
      <c r="K66" t="s">
        <v>91</v>
      </c>
      <c r="L66" t="s">
        <v>19</v>
      </c>
      <c r="M66" t="s">
        <v>155</v>
      </c>
      <c r="N66" s="4">
        <v>46058</v>
      </c>
    </row>
    <row r="67" spans="1:14" x14ac:dyDescent="0.25">
      <c r="A67">
        <v>8</v>
      </c>
      <c r="B67" t="s">
        <v>90</v>
      </c>
      <c r="C67">
        <v>3</v>
      </c>
      <c r="D67" t="s">
        <v>23</v>
      </c>
      <c r="E67" s="4">
        <v>46052.430555555555</v>
      </c>
      <c r="F67" s="10" t="s">
        <v>92</v>
      </c>
      <c r="G67" t="s">
        <v>161</v>
      </c>
      <c r="H67">
        <v>6.9</v>
      </c>
      <c r="I67">
        <v>9.5</v>
      </c>
      <c r="J67" s="7">
        <v>9155877</v>
      </c>
      <c r="K67" t="s">
        <v>91</v>
      </c>
      <c r="L67" t="s">
        <v>19</v>
      </c>
      <c r="M67" t="s">
        <v>155</v>
      </c>
      <c r="N67" s="4">
        <v>46058</v>
      </c>
    </row>
    <row r="68" spans="1:14" x14ac:dyDescent="0.25">
      <c r="A68">
        <v>8</v>
      </c>
      <c r="B68" t="s">
        <v>90</v>
      </c>
      <c r="C68">
        <v>4</v>
      </c>
      <c r="D68" t="s">
        <v>26</v>
      </c>
      <c r="E68" s="4">
        <v>46052.430555555555</v>
      </c>
      <c r="F68" s="11">
        <v>1847</v>
      </c>
      <c r="G68" t="s">
        <v>161</v>
      </c>
      <c r="I68">
        <v>2500</v>
      </c>
      <c r="J68" s="7">
        <v>9155877</v>
      </c>
      <c r="K68" t="s">
        <v>91</v>
      </c>
      <c r="L68" t="s">
        <v>19</v>
      </c>
      <c r="M68" t="s">
        <v>155</v>
      </c>
      <c r="N68" s="4">
        <v>46058</v>
      </c>
    </row>
    <row r="69" spans="1:14" x14ac:dyDescent="0.25">
      <c r="A69">
        <v>8</v>
      </c>
      <c r="B69" t="s">
        <v>90</v>
      </c>
      <c r="C69">
        <v>5</v>
      </c>
      <c r="D69" t="s">
        <v>29</v>
      </c>
      <c r="E69" s="4">
        <v>46052.430555555555</v>
      </c>
      <c r="F69" s="10" t="s">
        <v>30</v>
      </c>
      <c r="G69" t="s">
        <v>161</v>
      </c>
      <c r="I69">
        <v>5</v>
      </c>
      <c r="J69" s="7">
        <v>9155877</v>
      </c>
      <c r="K69" t="s">
        <v>91</v>
      </c>
      <c r="L69" t="s">
        <v>19</v>
      </c>
      <c r="M69" t="s">
        <v>155</v>
      </c>
      <c r="N69" s="4">
        <v>46058</v>
      </c>
    </row>
    <row r="70" spans="1:14" x14ac:dyDescent="0.25">
      <c r="A70">
        <v>8</v>
      </c>
      <c r="B70" t="s">
        <v>90</v>
      </c>
      <c r="C70">
        <v>6</v>
      </c>
      <c r="D70" t="s">
        <v>32</v>
      </c>
      <c r="E70" s="4">
        <v>46052.430555555555</v>
      </c>
      <c r="F70" s="10" t="s">
        <v>93</v>
      </c>
      <c r="G70" t="s">
        <v>161</v>
      </c>
      <c r="I70">
        <v>1</v>
      </c>
      <c r="J70" s="7">
        <v>9155877</v>
      </c>
      <c r="K70" t="s">
        <v>91</v>
      </c>
      <c r="L70" t="s">
        <v>19</v>
      </c>
      <c r="M70" t="s">
        <v>155</v>
      </c>
      <c r="N70" s="4">
        <v>46058</v>
      </c>
    </row>
    <row r="71" spans="1:14" x14ac:dyDescent="0.25">
      <c r="A71">
        <v>8</v>
      </c>
      <c r="B71" t="s">
        <v>90</v>
      </c>
      <c r="C71">
        <v>7</v>
      </c>
      <c r="D71" t="s">
        <v>35</v>
      </c>
      <c r="E71" s="4">
        <v>45931</v>
      </c>
      <c r="F71" s="10" t="s">
        <v>156</v>
      </c>
      <c r="G71" t="s">
        <v>161</v>
      </c>
      <c r="I71">
        <v>500</v>
      </c>
      <c r="J71">
        <v>8891852</v>
      </c>
      <c r="K71" t="s">
        <v>155</v>
      </c>
      <c r="L71" t="s">
        <v>53</v>
      </c>
      <c r="M71" t="s">
        <v>155</v>
      </c>
      <c r="N71" s="4">
        <v>45960</v>
      </c>
    </row>
    <row r="72" spans="1:14" x14ac:dyDescent="0.25">
      <c r="A72">
        <v>8</v>
      </c>
      <c r="B72" t="s">
        <v>90</v>
      </c>
      <c r="C72">
        <v>8</v>
      </c>
      <c r="D72" t="s">
        <v>38</v>
      </c>
      <c r="E72" s="4">
        <v>46099</v>
      </c>
      <c r="F72" s="10" t="s">
        <v>94</v>
      </c>
      <c r="G72" t="s">
        <v>161</v>
      </c>
      <c r="I72">
        <v>250</v>
      </c>
      <c r="J72" s="7">
        <v>8874957</v>
      </c>
      <c r="K72" t="s">
        <v>95</v>
      </c>
      <c r="L72" t="s">
        <v>59</v>
      </c>
      <c r="M72" t="s">
        <v>95</v>
      </c>
      <c r="N72" s="4">
        <v>46114</v>
      </c>
    </row>
    <row r="73" spans="1:14" x14ac:dyDescent="0.25">
      <c r="A73">
        <v>8</v>
      </c>
      <c r="B73" t="s">
        <v>90</v>
      </c>
      <c r="C73">
        <v>9</v>
      </c>
      <c r="D73" t="s">
        <v>40</v>
      </c>
      <c r="E73" s="4">
        <v>46099</v>
      </c>
      <c r="F73" s="10" t="s">
        <v>96</v>
      </c>
      <c r="G73" t="s">
        <v>161</v>
      </c>
      <c r="I73">
        <v>50</v>
      </c>
      <c r="J73" s="7">
        <v>8874957</v>
      </c>
      <c r="K73" t="s">
        <v>95</v>
      </c>
      <c r="L73" t="s">
        <v>59</v>
      </c>
      <c r="M73" t="s">
        <v>95</v>
      </c>
      <c r="N73" s="4">
        <v>46114</v>
      </c>
    </row>
    <row r="74" spans="1:14" x14ac:dyDescent="0.25">
      <c r="A74">
        <v>9</v>
      </c>
      <c r="B74" t="s">
        <v>97</v>
      </c>
      <c r="C74">
        <v>1</v>
      </c>
      <c r="D74" t="s">
        <v>15</v>
      </c>
      <c r="E74" s="4">
        <v>46106.354166666664</v>
      </c>
      <c r="F74" s="10" t="s">
        <v>16</v>
      </c>
      <c r="G74" t="s">
        <v>161</v>
      </c>
      <c r="J74" s="7">
        <v>9155885</v>
      </c>
      <c r="K74" t="s">
        <v>98</v>
      </c>
      <c r="L74" t="s">
        <v>19</v>
      </c>
      <c r="M74" t="s">
        <v>98</v>
      </c>
      <c r="N74" s="4">
        <v>46119</v>
      </c>
    </row>
    <row r="75" spans="1:14" x14ac:dyDescent="0.25">
      <c r="A75">
        <v>9</v>
      </c>
      <c r="B75" t="s">
        <v>97</v>
      </c>
      <c r="C75">
        <v>2</v>
      </c>
      <c r="D75" t="s">
        <v>22</v>
      </c>
      <c r="E75" s="4">
        <v>46106.354166666664</v>
      </c>
      <c r="F75" s="10" t="s">
        <v>16</v>
      </c>
      <c r="G75" t="s">
        <v>161</v>
      </c>
      <c r="J75" s="7">
        <v>9155885</v>
      </c>
      <c r="K75" t="s">
        <v>98</v>
      </c>
      <c r="L75" t="s">
        <v>19</v>
      </c>
      <c r="M75" t="s">
        <v>98</v>
      </c>
      <c r="N75" s="4">
        <v>46119</v>
      </c>
    </row>
    <row r="76" spans="1:14" x14ac:dyDescent="0.25">
      <c r="A76">
        <v>9</v>
      </c>
      <c r="B76" t="s">
        <v>97</v>
      </c>
      <c r="C76">
        <v>3</v>
      </c>
      <c r="D76" t="s">
        <v>23</v>
      </c>
      <c r="E76" s="4">
        <v>46106.354166666664</v>
      </c>
      <c r="F76" s="10" t="s">
        <v>99</v>
      </c>
      <c r="G76" t="s">
        <v>161</v>
      </c>
      <c r="H76">
        <v>6.9</v>
      </c>
      <c r="I76">
        <v>9.5</v>
      </c>
      <c r="J76" s="7">
        <v>9155885</v>
      </c>
      <c r="K76" t="s">
        <v>98</v>
      </c>
      <c r="L76" t="s">
        <v>19</v>
      </c>
      <c r="M76" t="s">
        <v>98</v>
      </c>
      <c r="N76" s="4">
        <v>46119</v>
      </c>
    </row>
    <row r="77" spans="1:14" x14ac:dyDescent="0.25">
      <c r="A77">
        <v>9</v>
      </c>
      <c r="B77" t="s">
        <v>97</v>
      </c>
      <c r="C77">
        <v>4</v>
      </c>
      <c r="D77" t="s">
        <v>26</v>
      </c>
      <c r="E77" s="4">
        <v>46106.354166666664</v>
      </c>
      <c r="F77" s="11">
        <v>1847</v>
      </c>
      <c r="G77" t="s">
        <v>161</v>
      </c>
      <c r="I77">
        <v>2500</v>
      </c>
      <c r="J77" s="7">
        <v>9155885</v>
      </c>
      <c r="K77" t="s">
        <v>98</v>
      </c>
      <c r="L77" t="s">
        <v>19</v>
      </c>
      <c r="M77" t="s">
        <v>98</v>
      </c>
      <c r="N77" s="4">
        <v>46119</v>
      </c>
    </row>
    <row r="78" spans="1:14" x14ac:dyDescent="0.25">
      <c r="A78">
        <v>9</v>
      </c>
      <c r="B78" t="s">
        <v>97</v>
      </c>
      <c r="C78">
        <v>5</v>
      </c>
      <c r="D78" t="s">
        <v>29</v>
      </c>
      <c r="E78" s="4">
        <v>46106.354166666664</v>
      </c>
      <c r="F78" s="10" t="s">
        <v>30</v>
      </c>
      <c r="G78" t="s">
        <v>161</v>
      </c>
      <c r="I78">
        <v>5</v>
      </c>
      <c r="J78" s="7">
        <v>9155885</v>
      </c>
      <c r="K78" t="s">
        <v>98</v>
      </c>
      <c r="L78" t="s">
        <v>19</v>
      </c>
      <c r="M78" t="s">
        <v>98</v>
      </c>
      <c r="N78" s="4">
        <v>46119</v>
      </c>
    </row>
    <row r="79" spans="1:14" x14ac:dyDescent="0.25">
      <c r="A79">
        <v>9</v>
      </c>
      <c r="B79" t="s">
        <v>97</v>
      </c>
      <c r="C79">
        <v>6</v>
      </c>
      <c r="D79" t="s">
        <v>32</v>
      </c>
      <c r="E79" s="4">
        <v>46106.354166666664</v>
      </c>
      <c r="F79" s="10" t="s">
        <v>100</v>
      </c>
      <c r="G79" t="s">
        <v>161</v>
      </c>
      <c r="I79">
        <v>1</v>
      </c>
      <c r="J79" s="7">
        <v>9155885</v>
      </c>
      <c r="K79" t="s">
        <v>98</v>
      </c>
      <c r="L79" t="s">
        <v>19</v>
      </c>
      <c r="M79" t="s">
        <v>98</v>
      </c>
      <c r="N79" s="4">
        <v>46119</v>
      </c>
    </row>
    <row r="80" spans="1:14" x14ac:dyDescent="0.25">
      <c r="A80">
        <v>9</v>
      </c>
      <c r="B80" t="s">
        <v>97</v>
      </c>
      <c r="C80">
        <v>7</v>
      </c>
      <c r="D80" t="s">
        <v>35</v>
      </c>
      <c r="E80" s="4">
        <v>46076.354166666664</v>
      </c>
      <c r="F80" s="10" t="s">
        <v>101</v>
      </c>
      <c r="G80" t="s">
        <v>161</v>
      </c>
      <c r="I80">
        <v>500</v>
      </c>
      <c r="J80">
        <v>8891867</v>
      </c>
      <c r="K80" t="s">
        <v>98</v>
      </c>
      <c r="L80" t="s">
        <v>19</v>
      </c>
      <c r="M80" t="s">
        <v>98</v>
      </c>
      <c r="N80" s="4">
        <v>46099</v>
      </c>
    </row>
    <row r="81" spans="1:14" x14ac:dyDescent="0.25">
      <c r="A81">
        <v>9</v>
      </c>
      <c r="B81" t="s">
        <v>97</v>
      </c>
      <c r="C81">
        <v>8</v>
      </c>
      <c r="D81" t="s">
        <v>38</v>
      </c>
      <c r="E81" s="4">
        <v>46076.354166666664</v>
      </c>
      <c r="F81" s="10" t="s">
        <v>102</v>
      </c>
      <c r="G81" t="s">
        <v>161</v>
      </c>
      <c r="I81">
        <v>250</v>
      </c>
      <c r="J81" s="7">
        <v>8891867</v>
      </c>
      <c r="K81" t="s">
        <v>98</v>
      </c>
      <c r="L81" t="s">
        <v>19</v>
      </c>
      <c r="M81" t="s">
        <v>98</v>
      </c>
      <c r="N81" s="4">
        <v>46099</v>
      </c>
    </row>
    <row r="82" spans="1:14" x14ac:dyDescent="0.25">
      <c r="A82">
        <v>9</v>
      </c>
      <c r="B82" t="s">
        <v>97</v>
      </c>
      <c r="C82">
        <v>9</v>
      </c>
      <c r="D82" t="s">
        <v>40</v>
      </c>
      <c r="E82" s="4">
        <v>46076.354166666664</v>
      </c>
      <c r="F82" s="10" t="s">
        <v>103</v>
      </c>
      <c r="G82" t="s">
        <v>161</v>
      </c>
      <c r="I82">
        <v>50</v>
      </c>
      <c r="J82" s="7">
        <v>8891867</v>
      </c>
      <c r="K82" t="s">
        <v>98</v>
      </c>
      <c r="L82" t="s">
        <v>19</v>
      </c>
      <c r="M82" t="s">
        <v>98</v>
      </c>
      <c r="N82" s="4">
        <v>46099</v>
      </c>
    </row>
    <row r="83" spans="1:14" x14ac:dyDescent="0.25">
      <c r="A83">
        <v>10</v>
      </c>
      <c r="B83" t="s">
        <v>104</v>
      </c>
      <c r="C83">
        <v>1</v>
      </c>
      <c r="D83" t="s">
        <v>15</v>
      </c>
      <c r="E83" s="4">
        <v>46106.375</v>
      </c>
      <c r="F83" s="10" t="s">
        <v>16</v>
      </c>
      <c r="G83" t="s">
        <v>161</v>
      </c>
      <c r="J83" s="7">
        <v>9188274</v>
      </c>
      <c r="K83" t="s">
        <v>105</v>
      </c>
      <c r="L83" t="s">
        <v>19</v>
      </c>
      <c r="M83" t="s">
        <v>105</v>
      </c>
      <c r="N83" s="4">
        <v>46119</v>
      </c>
    </row>
    <row r="84" spans="1:14" x14ac:dyDescent="0.25">
      <c r="A84">
        <v>10</v>
      </c>
      <c r="B84" t="s">
        <v>104</v>
      </c>
      <c r="C84">
        <v>2</v>
      </c>
      <c r="D84" t="s">
        <v>22</v>
      </c>
      <c r="E84" s="4">
        <v>46106.375</v>
      </c>
      <c r="F84" s="10" t="s">
        <v>16</v>
      </c>
      <c r="G84" t="s">
        <v>161</v>
      </c>
      <c r="J84" s="7">
        <v>9188274</v>
      </c>
      <c r="K84" t="s">
        <v>105</v>
      </c>
      <c r="L84" t="s">
        <v>19</v>
      </c>
      <c r="M84" t="s">
        <v>105</v>
      </c>
      <c r="N84" s="4">
        <v>46119</v>
      </c>
    </row>
    <row r="85" spans="1:14" x14ac:dyDescent="0.25">
      <c r="A85">
        <v>10</v>
      </c>
      <c r="B85" t="s">
        <v>104</v>
      </c>
      <c r="C85">
        <v>3</v>
      </c>
      <c r="D85" t="s">
        <v>23</v>
      </c>
      <c r="E85" s="4">
        <v>46106.375</v>
      </c>
      <c r="F85" s="10" t="s">
        <v>63</v>
      </c>
      <c r="G85" t="s">
        <v>161</v>
      </c>
      <c r="H85">
        <v>6.9</v>
      </c>
      <c r="I85">
        <v>9.5</v>
      </c>
      <c r="J85" s="7">
        <v>9188274</v>
      </c>
      <c r="K85" t="s">
        <v>105</v>
      </c>
      <c r="L85" t="s">
        <v>19</v>
      </c>
      <c r="M85" t="s">
        <v>105</v>
      </c>
      <c r="N85" s="4">
        <v>46119</v>
      </c>
    </row>
    <row r="86" spans="1:14" x14ac:dyDescent="0.25">
      <c r="A86">
        <v>10</v>
      </c>
      <c r="B86" t="s">
        <v>104</v>
      </c>
      <c r="C86">
        <v>4</v>
      </c>
      <c r="D86" t="s">
        <v>26</v>
      </c>
      <c r="E86" s="4">
        <v>46106.375</v>
      </c>
      <c r="F86" s="11">
        <v>343</v>
      </c>
      <c r="G86" t="s">
        <v>161</v>
      </c>
      <c r="I86">
        <v>2500</v>
      </c>
      <c r="J86" s="7">
        <v>9188274</v>
      </c>
      <c r="K86" t="s">
        <v>105</v>
      </c>
      <c r="L86" t="s">
        <v>19</v>
      </c>
      <c r="M86" t="s">
        <v>105</v>
      </c>
      <c r="N86" s="4">
        <v>46119</v>
      </c>
    </row>
    <row r="87" spans="1:14" x14ac:dyDescent="0.25">
      <c r="A87">
        <v>10</v>
      </c>
      <c r="B87" t="s">
        <v>104</v>
      </c>
      <c r="C87">
        <v>5</v>
      </c>
      <c r="D87" t="s">
        <v>29</v>
      </c>
      <c r="E87" s="4">
        <v>46106.375</v>
      </c>
      <c r="F87" s="10" t="s">
        <v>30</v>
      </c>
      <c r="G87" t="s">
        <v>161</v>
      </c>
      <c r="I87">
        <v>5</v>
      </c>
      <c r="J87" s="7">
        <v>9188274</v>
      </c>
      <c r="K87" t="s">
        <v>105</v>
      </c>
      <c r="L87" t="s">
        <v>19</v>
      </c>
      <c r="M87" t="s">
        <v>105</v>
      </c>
      <c r="N87" s="4">
        <v>46119</v>
      </c>
    </row>
    <row r="88" spans="1:14" x14ac:dyDescent="0.25">
      <c r="A88">
        <v>10</v>
      </c>
      <c r="B88" t="s">
        <v>104</v>
      </c>
      <c r="C88">
        <v>6</v>
      </c>
      <c r="D88" t="s">
        <v>32</v>
      </c>
      <c r="E88" s="4">
        <v>46106.375</v>
      </c>
      <c r="F88" s="10" t="s">
        <v>106</v>
      </c>
      <c r="G88" t="s">
        <v>161</v>
      </c>
      <c r="I88">
        <v>1</v>
      </c>
      <c r="J88" s="7">
        <v>9188274</v>
      </c>
      <c r="K88" t="s">
        <v>105</v>
      </c>
      <c r="L88" t="s">
        <v>19</v>
      </c>
      <c r="M88" t="s">
        <v>105</v>
      </c>
      <c r="N88" s="4">
        <v>46119</v>
      </c>
    </row>
    <row r="89" spans="1:14" x14ac:dyDescent="0.25">
      <c r="A89">
        <v>10</v>
      </c>
      <c r="B89" t="s">
        <v>104</v>
      </c>
      <c r="C89">
        <v>7</v>
      </c>
      <c r="D89" t="s">
        <v>35</v>
      </c>
      <c r="E89" s="4">
        <v>46076.444444444445</v>
      </c>
      <c r="F89" s="10" t="s">
        <v>107</v>
      </c>
      <c r="G89" t="s">
        <v>161</v>
      </c>
      <c r="I89">
        <v>500</v>
      </c>
      <c r="J89">
        <v>8891876</v>
      </c>
      <c r="K89" t="s">
        <v>108</v>
      </c>
      <c r="L89" t="s">
        <v>19</v>
      </c>
      <c r="M89" t="s">
        <v>108</v>
      </c>
      <c r="N89" s="4">
        <v>46099</v>
      </c>
    </row>
    <row r="90" spans="1:14" x14ac:dyDescent="0.25">
      <c r="A90">
        <v>10</v>
      </c>
      <c r="B90" t="s">
        <v>104</v>
      </c>
      <c r="C90">
        <v>8</v>
      </c>
      <c r="D90" t="s">
        <v>38</v>
      </c>
      <c r="E90" s="4">
        <v>46076.444444444445</v>
      </c>
      <c r="F90" s="10" t="s">
        <v>109</v>
      </c>
      <c r="G90" t="s">
        <v>161</v>
      </c>
      <c r="I90">
        <v>250</v>
      </c>
      <c r="J90" s="7">
        <v>8891876</v>
      </c>
      <c r="K90" t="s">
        <v>108</v>
      </c>
      <c r="L90" t="s">
        <v>19</v>
      </c>
      <c r="M90" t="s">
        <v>108</v>
      </c>
      <c r="N90" s="4">
        <v>46099</v>
      </c>
    </row>
    <row r="91" spans="1:14" x14ac:dyDescent="0.25">
      <c r="A91">
        <v>10</v>
      </c>
      <c r="B91" t="s">
        <v>104</v>
      </c>
      <c r="C91">
        <v>9</v>
      </c>
      <c r="D91" t="s">
        <v>40</v>
      </c>
      <c r="E91" s="4">
        <v>46076.444444444445</v>
      </c>
      <c r="F91" s="10" t="s">
        <v>110</v>
      </c>
      <c r="G91" t="s">
        <v>161</v>
      </c>
      <c r="I91">
        <v>50</v>
      </c>
      <c r="J91" s="7">
        <v>8891876</v>
      </c>
      <c r="K91" t="s">
        <v>108</v>
      </c>
      <c r="L91" t="s">
        <v>19</v>
      </c>
      <c r="M91" t="s">
        <v>108</v>
      </c>
      <c r="N91" s="4">
        <v>46099</v>
      </c>
    </row>
    <row r="92" spans="1:14" x14ac:dyDescent="0.25">
      <c r="A92">
        <v>11</v>
      </c>
      <c r="B92" t="s">
        <v>111</v>
      </c>
      <c r="C92">
        <v>1</v>
      </c>
      <c r="D92" t="s">
        <v>15</v>
      </c>
      <c r="E92" s="4">
        <v>46071.350694444445</v>
      </c>
      <c r="F92" s="10" t="s">
        <v>16</v>
      </c>
      <c r="G92" t="s">
        <v>161</v>
      </c>
      <c r="J92" s="7">
        <v>9188264</v>
      </c>
      <c r="K92" t="s">
        <v>112</v>
      </c>
      <c r="L92" t="s">
        <v>19</v>
      </c>
      <c r="M92" t="s">
        <v>112</v>
      </c>
      <c r="N92" s="4">
        <v>46078</v>
      </c>
    </row>
    <row r="93" spans="1:14" x14ac:dyDescent="0.25">
      <c r="A93">
        <v>11</v>
      </c>
      <c r="B93" t="s">
        <v>111</v>
      </c>
      <c r="C93">
        <v>2</v>
      </c>
      <c r="D93" t="s">
        <v>22</v>
      </c>
      <c r="E93" s="4">
        <v>46071.350694444445</v>
      </c>
      <c r="F93" s="12" t="s">
        <v>16</v>
      </c>
      <c r="G93" t="s">
        <v>161</v>
      </c>
      <c r="J93" s="7">
        <v>9188264</v>
      </c>
      <c r="K93" t="s">
        <v>112</v>
      </c>
      <c r="L93" t="s">
        <v>19</v>
      </c>
      <c r="M93" t="s">
        <v>112</v>
      </c>
      <c r="N93" s="4">
        <v>46078</v>
      </c>
    </row>
    <row r="94" spans="1:14" x14ac:dyDescent="0.25">
      <c r="A94">
        <v>11</v>
      </c>
      <c r="B94" t="s">
        <v>111</v>
      </c>
      <c r="C94">
        <v>3</v>
      </c>
      <c r="D94" t="s">
        <v>23</v>
      </c>
      <c r="E94" s="4">
        <v>46071.350694444445</v>
      </c>
      <c r="F94" s="10" t="s">
        <v>63</v>
      </c>
      <c r="G94" t="s">
        <v>161</v>
      </c>
      <c r="H94">
        <v>6.9</v>
      </c>
      <c r="I94">
        <v>9.5</v>
      </c>
      <c r="J94" s="7">
        <v>9188264</v>
      </c>
      <c r="K94" t="s">
        <v>112</v>
      </c>
      <c r="L94" t="s">
        <v>19</v>
      </c>
      <c r="M94" t="s">
        <v>112</v>
      </c>
      <c r="N94" s="4">
        <v>46078</v>
      </c>
    </row>
    <row r="95" spans="1:14" x14ac:dyDescent="0.25">
      <c r="A95">
        <v>11</v>
      </c>
      <c r="B95" t="s">
        <v>111</v>
      </c>
      <c r="C95">
        <v>4</v>
      </c>
      <c r="D95" t="s">
        <v>26</v>
      </c>
      <c r="E95" s="4">
        <v>46071.350694444445</v>
      </c>
      <c r="F95" s="11">
        <v>1696</v>
      </c>
      <c r="G95" t="s">
        <v>161</v>
      </c>
      <c r="I95">
        <v>2500</v>
      </c>
      <c r="J95" s="7">
        <v>9188264</v>
      </c>
      <c r="K95" t="s">
        <v>112</v>
      </c>
      <c r="L95" t="s">
        <v>19</v>
      </c>
      <c r="M95" t="s">
        <v>112</v>
      </c>
      <c r="N95" s="4">
        <v>46078</v>
      </c>
    </row>
    <row r="96" spans="1:14" x14ac:dyDescent="0.25">
      <c r="A96">
        <v>11</v>
      </c>
      <c r="B96" t="s">
        <v>111</v>
      </c>
      <c r="C96">
        <v>5</v>
      </c>
      <c r="D96" t="s">
        <v>29</v>
      </c>
      <c r="E96" s="4">
        <v>46071.350694444445</v>
      </c>
      <c r="F96" s="10" t="s">
        <v>30</v>
      </c>
      <c r="G96" t="s">
        <v>161</v>
      </c>
      <c r="I96">
        <v>5</v>
      </c>
      <c r="J96" s="7">
        <v>9188264</v>
      </c>
      <c r="K96" t="s">
        <v>112</v>
      </c>
      <c r="L96" t="s">
        <v>19</v>
      </c>
      <c r="M96" t="s">
        <v>112</v>
      </c>
      <c r="N96" s="4">
        <v>46078</v>
      </c>
    </row>
    <row r="97" spans="1:14" x14ac:dyDescent="0.25">
      <c r="A97">
        <v>11</v>
      </c>
      <c r="B97" t="s">
        <v>111</v>
      </c>
      <c r="C97">
        <v>6</v>
      </c>
      <c r="D97" t="s">
        <v>32</v>
      </c>
      <c r="E97" s="4">
        <v>46071.350694444445</v>
      </c>
      <c r="F97" s="10" t="s">
        <v>113</v>
      </c>
      <c r="G97" t="s">
        <v>161</v>
      </c>
      <c r="I97">
        <v>1</v>
      </c>
      <c r="J97" s="7">
        <v>9188264</v>
      </c>
      <c r="K97" t="s">
        <v>112</v>
      </c>
      <c r="L97" t="s">
        <v>19</v>
      </c>
      <c r="M97" t="s">
        <v>112</v>
      </c>
      <c r="N97" s="4">
        <v>46078</v>
      </c>
    </row>
    <row r="98" spans="1:14" x14ac:dyDescent="0.25">
      <c r="A98">
        <v>11</v>
      </c>
      <c r="B98" t="s">
        <v>111</v>
      </c>
      <c r="C98">
        <v>7</v>
      </c>
      <c r="D98" t="s">
        <v>35</v>
      </c>
      <c r="E98" s="4">
        <v>45929</v>
      </c>
      <c r="F98" s="10" t="s">
        <v>158</v>
      </c>
      <c r="G98" t="s">
        <v>161</v>
      </c>
      <c r="I98">
        <v>500</v>
      </c>
      <c r="J98">
        <v>8891583</v>
      </c>
      <c r="K98" s="6" t="s">
        <v>157</v>
      </c>
      <c r="L98" t="s">
        <v>53</v>
      </c>
      <c r="M98" s="6" t="s">
        <v>157</v>
      </c>
      <c r="N98" s="4">
        <v>45958</v>
      </c>
    </row>
    <row r="99" spans="1:14" x14ac:dyDescent="0.25">
      <c r="A99">
        <v>11</v>
      </c>
      <c r="B99" t="s">
        <v>111</v>
      </c>
      <c r="C99">
        <v>8</v>
      </c>
      <c r="D99" t="s">
        <v>38</v>
      </c>
      <c r="E99" s="4">
        <v>46099</v>
      </c>
      <c r="F99" s="10" t="s">
        <v>114</v>
      </c>
      <c r="G99" t="s">
        <v>161</v>
      </c>
      <c r="I99">
        <v>250</v>
      </c>
      <c r="J99" s="7">
        <v>8874961</v>
      </c>
      <c r="K99" t="s">
        <v>115</v>
      </c>
      <c r="L99" t="s">
        <v>59</v>
      </c>
      <c r="M99" t="s">
        <v>115</v>
      </c>
      <c r="N99" s="4">
        <v>46108</v>
      </c>
    </row>
    <row r="100" spans="1:14" x14ac:dyDescent="0.25">
      <c r="A100">
        <v>11</v>
      </c>
      <c r="B100" t="s">
        <v>111</v>
      </c>
      <c r="C100">
        <v>9</v>
      </c>
      <c r="D100" t="s">
        <v>40</v>
      </c>
      <c r="E100" s="4">
        <v>46099</v>
      </c>
      <c r="F100" s="10" t="s">
        <v>116</v>
      </c>
      <c r="G100" t="s">
        <v>161</v>
      </c>
      <c r="I100">
        <v>50</v>
      </c>
      <c r="J100" s="7">
        <v>8874961</v>
      </c>
      <c r="K100" t="s">
        <v>115</v>
      </c>
      <c r="L100" t="s">
        <v>59</v>
      </c>
      <c r="M100" t="s">
        <v>115</v>
      </c>
      <c r="N100" s="4">
        <v>46108</v>
      </c>
    </row>
    <row r="101" spans="1:14" x14ac:dyDescent="0.25">
      <c r="A101">
        <v>12</v>
      </c>
      <c r="B101" t="s">
        <v>117</v>
      </c>
      <c r="C101">
        <v>1</v>
      </c>
      <c r="D101" t="s">
        <v>15</v>
      </c>
      <c r="E101" s="4">
        <v>46106.42083333333</v>
      </c>
      <c r="F101" s="10" t="s">
        <v>16</v>
      </c>
      <c r="G101" t="s">
        <v>161</v>
      </c>
      <c r="J101" s="7">
        <v>9155886</v>
      </c>
      <c r="K101" t="s">
        <v>118</v>
      </c>
      <c r="L101" t="s">
        <v>19</v>
      </c>
      <c r="M101" t="s">
        <v>118</v>
      </c>
      <c r="N101" s="4">
        <v>46119</v>
      </c>
    </row>
    <row r="102" spans="1:14" x14ac:dyDescent="0.25">
      <c r="A102">
        <v>12</v>
      </c>
      <c r="B102" t="s">
        <v>117</v>
      </c>
      <c r="C102">
        <v>2</v>
      </c>
      <c r="D102" t="s">
        <v>22</v>
      </c>
      <c r="E102" s="4">
        <v>46106.42083333333</v>
      </c>
      <c r="F102" s="10" t="s">
        <v>16</v>
      </c>
      <c r="G102" t="s">
        <v>161</v>
      </c>
      <c r="J102" s="7">
        <v>9155886</v>
      </c>
      <c r="K102" t="s">
        <v>118</v>
      </c>
      <c r="L102" t="s">
        <v>19</v>
      </c>
      <c r="M102" t="s">
        <v>118</v>
      </c>
      <c r="N102" s="4">
        <v>46119</v>
      </c>
    </row>
    <row r="103" spans="1:14" x14ac:dyDescent="0.25">
      <c r="A103">
        <v>12</v>
      </c>
      <c r="B103" t="s">
        <v>117</v>
      </c>
      <c r="C103">
        <v>3</v>
      </c>
      <c r="D103" t="s">
        <v>23</v>
      </c>
      <c r="E103" s="4">
        <v>46106.42083333333</v>
      </c>
      <c r="F103" s="10" t="s">
        <v>24</v>
      </c>
      <c r="G103" t="s">
        <v>161</v>
      </c>
      <c r="H103">
        <v>6.9</v>
      </c>
      <c r="I103">
        <v>9.5</v>
      </c>
      <c r="J103" s="7">
        <v>9155886</v>
      </c>
      <c r="K103" t="s">
        <v>118</v>
      </c>
      <c r="L103" t="s">
        <v>19</v>
      </c>
      <c r="M103" t="s">
        <v>118</v>
      </c>
      <c r="N103" s="4">
        <v>46119</v>
      </c>
    </row>
    <row r="104" spans="1:14" x14ac:dyDescent="0.25">
      <c r="A104">
        <v>12</v>
      </c>
      <c r="B104" t="s">
        <v>117</v>
      </c>
      <c r="C104">
        <v>4</v>
      </c>
      <c r="D104" t="s">
        <v>26</v>
      </c>
      <c r="E104" s="4">
        <v>46106.42083333333</v>
      </c>
      <c r="F104" s="11">
        <v>779</v>
      </c>
      <c r="G104" t="s">
        <v>161</v>
      </c>
      <c r="I104">
        <v>2500</v>
      </c>
      <c r="J104" s="7">
        <v>9155886</v>
      </c>
      <c r="K104" t="s">
        <v>118</v>
      </c>
      <c r="L104" t="s">
        <v>19</v>
      </c>
      <c r="M104" t="s">
        <v>118</v>
      </c>
      <c r="N104" s="4">
        <v>46119</v>
      </c>
    </row>
    <row r="105" spans="1:14" x14ac:dyDescent="0.25">
      <c r="A105">
        <v>12</v>
      </c>
      <c r="B105" t="s">
        <v>117</v>
      </c>
      <c r="C105">
        <v>5</v>
      </c>
      <c r="D105" t="s">
        <v>29</v>
      </c>
      <c r="E105" s="4">
        <v>46106.42083333333</v>
      </c>
      <c r="F105" s="10" t="s">
        <v>30</v>
      </c>
      <c r="G105" t="s">
        <v>161</v>
      </c>
      <c r="I105">
        <v>5</v>
      </c>
      <c r="J105" s="7">
        <v>9155886</v>
      </c>
      <c r="K105" t="s">
        <v>118</v>
      </c>
      <c r="L105" t="s">
        <v>19</v>
      </c>
      <c r="M105" t="s">
        <v>118</v>
      </c>
      <c r="N105" s="4">
        <v>46119</v>
      </c>
    </row>
    <row r="106" spans="1:14" x14ac:dyDescent="0.25">
      <c r="A106">
        <v>12</v>
      </c>
      <c r="B106" t="s">
        <v>117</v>
      </c>
      <c r="C106">
        <v>6</v>
      </c>
      <c r="D106" t="s">
        <v>32</v>
      </c>
      <c r="E106" s="4">
        <v>46106.42083333333</v>
      </c>
      <c r="F106" s="10" t="s">
        <v>119</v>
      </c>
      <c r="G106" t="s">
        <v>161</v>
      </c>
      <c r="I106">
        <v>1</v>
      </c>
      <c r="J106" s="7">
        <v>9155886</v>
      </c>
      <c r="K106" t="s">
        <v>118</v>
      </c>
      <c r="L106" t="s">
        <v>19</v>
      </c>
      <c r="M106" t="s">
        <v>118</v>
      </c>
      <c r="N106" s="4">
        <v>46119</v>
      </c>
    </row>
    <row r="107" spans="1:14" x14ac:dyDescent="0.25">
      <c r="A107">
        <v>12</v>
      </c>
      <c r="B107" t="s">
        <v>117</v>
      </c>
      <c r="C107">
        <v>7</v>
      </c>
      <c r="D107" t="s">
        <v>35</v>
      </c>
      <c r="E107" s="4">
        <v>46050.409722222219</v>
      </c>
      <c r="F107" s="10" t="s">
        <v>120</v>
      </c>
      <c r="G107" t="s">
        <v>161</v>
      </c>
      <c r="I107">
        <v>500</v>
      </c>
      <c r="J107">
        <v>8891866</v>
      </c>
      <c r="K107" t="s">
        <v>118</v>
      </c>
      <c r="L107" t="s">
        <v>19</v>
      </c>
      <c r="M107" t="s">
        <v>118</v>
      </c>
      <c r="N107" s="4">
        <v>46063</v>
      </c>
    </row>
    <row r="108" spans="1:14" x14ac:dyDescent="0.25">
      <c r="A108">
        <v>12</v>
      </c>
      <c r="B108" t="s">
        <v>117</v>
      </c>
      <c r="C108">
        <v>8</v>
      </c>
      <c r="D108" t="s">
        <v>38</v>
      </c>
      <c r="E108" s="4">
        <v>46050.409722222219</v>
      </c>
      <c r="F108" s="10" t="s">
        <v>121</v>
      </c>
      <c r="G108" t="s">
        <v>161</v>
      </c>
      <c r="I108">
        <v>250</v>
      </c>
      <c r="J108" s="7">
        <v>8891866</v>
      </c>
      <c r="K108" t="s">
        <v>118</v>
      </c>
      <c r="L108" t="s">
        <v>19</v>
      </c>
      <c r="M108" t="s">
        <v>118</v>
      </c>
      <c r="N108" s="4">
        <v>46063</v>
      </c>
    </row>
    <row r="109" spans="1:14" x14ac:dyDescent="0.25">
      <c r="A109">
        <v>12</v>
      </c>
      <c r="B109" t="s">
        <v>117</v>
      </c>
      <c r="C109">
        <v>9</v>
      </c>
      <c r="D109" t="s">
        <v>40</v>
      </c>
      <c r="E109" s="4">
        <v>46050.409722222219</v>
      </c>
      <c r="F109" s="10" t="s">
        <v>122</v>
      </c>
      <c r="G109" t="s">
        <v>161</v>
      </c>
      <c r="I109">
        <v>50</v>
      </c>
      <c r="J109" s="7">
        <v>8891866</v>
      </c>
      <c r="K109" t="s">
        <v>118</v>
      </c>
      <c r="L109" t="s">
        <v>19</v>
      </c>
      <c r="M109" t="s">
        <v>118</v>
      </c>
      <c r="N109" s="4">
        <v>46063</v>
      </c>
    </row>
    <row r="110" spans="1:14" x14ac:dyDescent="0.25">
      <c r="A110">
        <v>13</v>
      </c>
      <c r="B110" s="6" t="s">
        <v>123</v>
      </c>
      <c r="C110">
        <v>1</v>
      </c>
      <c r="D110" t="s">
        <v>15</v>
      </c>
      <c r="E110" s="4">
        <v>46077.486111111109</v>
      </c>
      <c r="F110" s="10" t="s">
        <v>16</v>
      </c>
      <c r="G110" t="s">
        <v>161</v>
      </c>
      <c r="J110">
        <v>9155879</v>
      </c>
      <c r="K110" t="s">
        <v>124</v>
      </c>
      <c r="L110" t="s">
        <v>19</v>
      </c>
      <c r="M110" t="s">
        <v>124</v>
      </c>
      <c r="N110" s="4">
        <v>46084</v>
      </c>
    </row>
    <row r="111" spans="1:14" x14ac:dyDescent="0.25">
      <c r="A111">
        <v>13</v>
      </c>
      <c r="B111" s="6" t="s">
        <v>123</v>
      </c>
      <c r="C111">
        <v>2</v>
      </c>
      <c r="D111" t="s">
        <v>22</v>
      </c>
      <c r="E111" s="4">
        <v>46077.486111111109</v>
      </c>
      <c r="F111" s="10" t="s">
        <v>16</v>
      </c>
      <c r="G111" t="s">
        <v>161</v>
      </c>
      <c r="J111">
        <v>9155879</v>
      </c>
      <c r="K111" t="s">
        <v>124</v>
      </c>
      <c r="L111" t="s">
        <v>19</v>
      </c>
      <c r="M111" t="s">
        <v>124</v>
      </c>
      <c r="N111" s="4">
        <v>46084</v>
      </c>
    </row>
    <row r="112" spans="1:14" x14ac:dyDescent="0.25">
      <c r="A112">
        <v>13</v>
      </c>
      <c r="B112" s="6" t="s">
        <v>123</v>
      </c>
      <c r="C112">
        <v>3</v>
      </c>
      <c r="D112" t="s">
        <v>23</v>
      </c>
      <c r="E112" s="4">
        <v>46077.486111111109</v>
      </c>
      <c r="F112" s="10" t="s">
        <v>99</v>
      </c>
      <c r="G112" t="s">
        <v>161</v>
      </c>
      <c r="H112">
        <v>6.9</v>
      </c>
      <c r="I112">
        <v>9.5</v>
      </c>
      <c r="J112" s="7">
        <v>9155879</v>
      </c>
      <c r="K112" t="s">
        <v>124</v>
      </c>
      <c r="L112" t="s">
        <v>19</v>
      </c>
      <c r="M112" t="s">
        <v>124</v>
      </c>
      <c r="N112" s="4">
        <v>46084</v>
      </c>
    </row>
    <row r="113" spans="1:14" x14ac:dyDescent="0.25">
      <c r="A113">
        <v>13</v>
      </c>
      <c r="B113" s="6" t="s">
        <v>123</v>
      </c>
      <c r="C113">
        <v>4</v>
      </c>
      <c r="D113" t="s">
        <v>26</v>
      </c>
      <c r="E113" s="4">
        <v>46077.486111111109</v>
      </c>
      <c r="F113" s="11">
        <v>1373</v>
      </c>
      <c r="G113" t="s">
        <v>161</v>
      </c>
      <c r="I113">
        <v>2500</v>
      </c>
      <c r="J113" s="7">
        <v>9155879</v>
      </c>
      <c r="K113" t="s">
        <v>124</v>
      </c>
      <c r="L113" t="s">
        <v>19</v>
      </c>
      <c r="M113" t="s">
        <v>124</v>
      </c>
      <c r="N113" s="4">
        <v>46084</v>
      </c>
    </row>
    <row r="114" spans="1:14" x14ac:dyDescent="0.25">
      <c r="A114">
        <v>13</v>
      </c>
      <c r="B114" s="6" t="s">
        <v>123</v>
      </c>
      <c r="C114">
        <v>5</v>
      </c>
      <c r="D114" t="s">
        <v>29</v>
      </c>
      <c r="E114" s="4">
        <v>46077.486111111109</v>
      </c>
      <c r="F114" s="10" t="s">
        <v>93</v>
      </c>
      <c r="G114" t="s">
        <v>161</v>
      </c>
      <c r="I114">
        <v>5</v>
      </c>
      <c r="J114" s="7">
        <v>9155879</v>
      </c>
      <c r="K114" t="s">
        <v>124</v>
      </c>
      <c r="L114" t="s">
        <v>19</v>
      </c>
      <c r="M114" t="s">
        <v>124</v>
      </c>
      <c r="N114" s="4">
        <v>46084</v>
      </c>
    </row>
    <row r="115" spans="1:14" x14ac:dyDescent="0.25">
      <c r="A115">
        <v>13</v>
      </c>
      <c r="B115" s="6" t="s">
        <v>123</v>
      </c>
      <c r="C115">
        <v>6</v>
      </c>
      <c r="D115" t="s">
        <v>32</v>
      </c>
      <c r="E115" s="4">
        <v>46077.486111111109</v>
      </c>
      <c r="F115" s="10" t="s">
        <v>125</v>
      </c>
      <c r="G115" t="s">
        <v>161</v>
      </c>
      <c r="I115">
        <v>1</v>
      </c>
      <c r="J115" s="7">
        <v>9155879</v>
      </c>
      <c r="K115" t="s">
        <v>124</v>
      </c>
      <c r="L115" t="s">
        <v>19</v>
      </c>
      <c r="M115" t="s">
        <v>124</v>
      </c>
      <c r="N115" s="4">
        <v>46084</v>
      </c>
    </row>
    <row r="116" spans="1:14" x14ac:dyDescent="0.25">
      <c r="A116">
        <v>13</v>
      </c>
      <c r="B116" s="6" t="s">
        <v>123</v>
      </c>
      <c r="C116">
        <v>7</v>
      </c>
      <c r="D116" t="s">
        <v>35</v>
      </c>
      <c r="E116" s="4">
        <v>45930</v>
      </c>
      <c r="F116" s="10" t="s">
        <v>151</v>
      </c>
      <c r="G116" t="s">
        <v>161</v>
      </c>
      <c r="I116">
        <v>500</v>
      </c>
      <c r="J116">
        <v>8891855</v>
      </c>
      <c r="K116" t="s">
        <v>152</v>
      </c>
      <c r="L116" t="s">
        <v>53</v>
      </c>
      <c r="M116" t="s">
        <v>152</v>
      </c>
      <c r="N116" s="4">
        <v>45959</v>
      </c>
    </row>
    <row r="117" spans="1:14" x14ac:dyDescent="0.25">
      <c r="A117">
        <v>13</v>
      </c>
      <c r="B117" s="6" t="s">
        <v>123</v>
      </c>
      <c r="C117">
        <v>8</v>
      </c>
      <c r="D117" t="s">
        <v>38</v>
      </c>
      <c r="E117" s="4">
        <v>46099</v>
      </c>
      <c r="F117" s="10" t="s">
        <v>126</v>
      </c>
      <c r="G117" t="s">
        <v>161</v>
      </c>
      <c r="I117">
        <v>250</v>
      </c>
      <c r="J117" s="7">
        <v>8874963</v>
      </c>
      <c r="K117" t="s">
        <v>127</v>
      </c>
      <c r="L117" t="s">
        <v>59</v>
      </c>
      <c r="M117" t="s">
        <v>127</v>
      </c>
      <c r="N117" s="4">
        <v>46114</v>
      </c>
    </row>
    <row r="118" spans="1:14" x14ac:dyDescent="0.25">
      <c r="A118">
        <v>13</v>
      </c>
      <c r="B118" s="6" t="s">
        <v>123</v>
      </c>
      <c r="C118">
        <v>9</v>
      </c>
      <c r="D118" t="s">
        <v>40</v>
      </c>
      <c r="E118" s="4">
        <v>46099</v>
      </c>
      <c r="F118" s="10" t="s">
        <v>128</v>
      </c>
      <c r="G118" t="s">
        <v>161</v>
      </c>
      <c r="I118">
        <v>50</v>
      </c>
      <c r="J118" s="7">
        <v>8874963</v>
      </c>
      <c r="K118" t="s">
        <v>127</v>
      </c>
      <c r="L118" t="s">
        <v>59</v>
      </c>
      <c r="M118" t="s">
        <v>127</v>
      </c>
      <c r="N118" s="4">
        <v>46114</v>
      </c>
    </row>
    <row r="119" spans="1:14" x14ac:dyDescent="0.25">
      <c r="A119">
        <v>14</v>
      </c>
      <c r="B119" t="s">
        <v>129</v>
      </c>
      <c r="C119">
        <v>1</v>
      </c>
      <c r="D119" t="s">
        <v>15</v>
      </c>
      <c r="E119" s="4">
        <v>46106.4375</v>
      </c>
      <c r="F119" s="10" t="s">
        <v>16</v>
      </c>
      <c r="G119" t="s">
        <v>161</v>
      </c>
      <c r="J119" s="7">
        <v>9155887</v>
      </c>
      <c r="K119" t="s">
        <v>130</v>
      </c>
      <c r="L119" t="s">
        <v>19</v>
      </c>
      <c r="M119" t="s">
        <v>130</v>
      </c>
      <c r="N119" s="4">
        <v>46119</v>
      </c>
    </row>
    <row r="120" spans="1:14" x14ac:dyDescent="0.25">
      <c r="A120">
        <v>14</v>
      </c>
      <c r="B120" t="s">
        <v>129</v>
      </c>
      <c r="C120">
        <v>2</v>
      </c>
      <c r="D120" t="s">
        <v>22</v>
      </c>
      <c r="E120" s="4">
        <v>46106.4375</v>
      </c>
      <c r="F120" s="10" t="s">
        <v>16</v>
      </c>
      <c r="G120" t="s">
        <v>161</v>
      </c>
      <c r="J120" s="7">
        <v>9155887</v>
      </c>
      <c r="K120" t="s">
        <v>130</v>
      </c>
      <c r="L120" t="s">
        <v>19</v>
      </c>
      <c r="M120" t="s">
        <v>130</v>
      </c>
      <c r="N120" s="4">
        <v>46119</v>
      </c>
    </row>
    <row r="121" spans="1:14" x14ac:dyDescent="0.25">
      <c r="A121">
        <v>14</v>
      </c>
      <c r="B121" t="s">
        <v>129</v>
      </c>
      <c r="C121">
        <v>3</v>
      </c>
      <c r="D121" t="s">
        <v>23</v>
      </c>
      <c r="E121" s="4">
        <v>46106.4375</v>
      </c>
      <c r="F121" s="10" t="s">
        <v>45</v>
      </c>
      <c r="G121" t="s">
        <v>161</v>
      </c>
      <c r="H121">
        <v>6.9</v>
      </c>
      <c r="I121">
        <v>9.5</v>
      </c>
      <c r="J121" s="7">
        <v>9155887</v>
      </c>
      <c r="K121" t="s">
        <v>130</v>
      </c>
      <c r="L121" t="s">
        <v>19</v>
      </c>
      <c r="M121" t="s">
        <v>130</v>
      </c>
      <c r="N121" s="4">
        <v>46119</v>
      </c>
    </row>
    <row r="122" spans="1:14" x14ac:dyDescent="0.25">
      <c r="A122">
        <v>14</v>
      </c>
      <c r="B122" t="s">
        <v>129</v>
      </c>
      <c r="C122">
        <v>4</v>
      </c>
      <c r="D122" t="s">
        <v>26</v>
      </c>
      <c r="E122" s="4">
        <v>46106.4375</v>
      </c>
      <c r="F122" s="11">
        <v>563</v>
      </c>
      <c r="G122" t="s">
        <v>161</v>
      </c>
      <c r="I122">
        <v>2500</v>
      </c>
      <c r="J122" s="7">
        <v>9155887</v>
      </c>
      <c r="K122" t="s">
        <v>130</v>
      </c>
      <c r="L122" t="s">
        <v>19</v>
      </c>
      <c r="M122" t="s">
        <v>130</v>
      </c>
      <c r="N122" s="4">
        <v>46119</v>
      </c>
    </row>
    <row r="123" spans="1:14" x14ac:dyDescent="0.25">
      <c r="A123">
        <v>14</v>
      </c>
      <c r="B123" t="s">
        <v>129</v>
      </c>
      <c r="C123">
        <v>5</v>
      </c>
      <c r="D123" t="s">
        <v>29</v>
      </c>
      <c r="E123" s="4">
        <v>46106.4375</v>
      </c>
      <c r="F123" s="10" t="s">
        <v>30</v>
      </c>
      <c r="G123" t="s">
        <v>161</v>
      </c>
      <c r="I123">
        <v>5</v>
      </c>
      <c r="J123" s="7">
        <v>9155887</v>
      </c>
      <c r="K123" t="s">
        <v>130</v>
      </c>
      <c r="L123" t="s">
        <v>19</v>
      </c>
      <c r="M123" t="s">
        <v>130</v>
      </c>
      <c r="N123" s="4">
        <v>46119</v>
      </c>
    </row>
    <row r="124" spans="1:14" x14ac:dyDescent="0.25">
      <c r="A124">
        <v>14</v>
      </c>
      <c r="B124" t="s">
        <v>129</v>
      </c>
      <c r="C124">
        <v>6</v>
      </c>
      <c r="D124" t="s">
        <v>32</v>
      </c>
      <c r="E124" s="4">
        <v>46106.4375</v>
      </c>
      <c r="F124" s="10" t="s">
        <v>131</v>
      </c>
      <c r="G124" t="s">
        <v>161</v>
      </c>
      <c r="I124">
        <v>1</v>
      </c>
      <c r="J124" s="7">
        <v>9155887</v>
      </c>
      <c r="K124" t="s">
        <v>130</v>
      </c>
      <c r="L124" t="s">
        <v>19</v>
      </c>
      <c r="M124" t="s">
        <v>130</v>
      </c>
      <c r="N124" s="4">
        <v>46119</v>
      </c>
    </row>
    <row r="125" spans="1:14" x14ac:dyDescent="0.25">
      <c r="A125">
        <v>14</v>
      </c>
      <c r="B125" t="s">
        <v>129</v>
      </c>
      <c r="C125">
        <v>7</v>
      </c>
      <c r="D125" t="s">
        <v>35</v>
      </c>
      <c r="E125" s="4">
        <v>45959</v>
      </c>
      <c r="F125" s="12" t="s">
        <v>159</v>
      </c>
      <c r="G125" t="s">
        <v>161</v>
      </c>
      <c r="I125">
        <v>500</v>
      </c>
      <c r="J125">
        <v>8891859</v>
      </c>
      <c r="K125" s="6" t="s">
        <v>160</v>
      </c>
      <c r="L125" t="s">
        <v>53</v>
      </c>
      <c r="M125" s="6" t="s">
        <v>160</v>
      </c>
      <c r="N125" s="4">
        <v>45985</v>
      </c>
    </row>
    <row r="126" spans="1:14" x14ac:dyDescent="0.25">
      <c r="A126">
        <v>14</v>
      </c>
      <c r="B126" t="s">
        <v>129</v>
      </c>
      <c r="C126">
        <v>8</v>
      </c>
      <c r="D126" t="s">
        <v>38</v>
      </c>
      <c r="E126" s="4">
        <v>46099</v>
      </c>
      <c r="F126" s="10" t="s">
        <v>132</v>
      </c>
      <c r="G126" t="s">
        <v>161</v>
      </c>
      <c r="I126">
        <v>250</v>
      </c>
      <c r="J126" s="7">
        <v>8874964</v>
      </c>
      <c r="K126" t="s">
        <v>133</v>
      </c>
      <c r="L126" t="s">
        <v>59</v>
      </c>
      <c r="M126" t="s">
        <v>133</v>
      </c>
      <c r="N126" s="4">
        <v>46108</v>
      </c>
    </row>
    <row r="127" spans="1:14" x14ac:dyDescent="0.25">
      <c r="A127">
        <v>14</v>
      </c>
      <c r="B127" t="s">
        <v>129</v>
      </c>
      <c r="C127">
        <v>9</v>
      </c>
      <c r="D127" t="s">
        <v>40</v>
      </c>
      <c r="E127" s="4">
        <v>46099</v>
      </c>
      <c r="F127" s="10" t="s">
        <v>70</v>
      </c>
      <c r="G127" t="s">
        <v>161</v>
      </c>
      <c r="I127">
        <v>50</v>
      </c>
      <c r="J127" s="7">
        <v>8874964</v>
      </c>
      <c r="K127" t="s">
        <v>133</v>
      </c>
      <c r="L127" t="s">
        <v>59</v>
      </c>
      <c r="M127" t="s">
        <v>133</v>
      </c>
      <c r="N127" s="4">
        <v>46108</v>
      </c>
    </row>
    <row r="128" spans="1:14" x14ac:dyDescent="0.25">
      <c r="A128">
        <v>15</v>
      </c>
      <c r="B128" s="6" t="s">
        <v>134</v>
      </c>
      <c r="C128">
        <v>1</v>
      </c>
      <c r="D128" t="s">
        <v>15</v>
      </c>
      <c r="E128" s="4">
        <v>46104.322916666664</v>
      </c>
      <c r="F128" s="10" t="s">
        <v>16</v>
      </c>
      <c r="G128" t="s">
        <v>161</v>
      </c>
      <c r="J128" s="7">
        <v>9188277</v>
      </c>
      <c r="K128" t="s">
        <v>135</v>
      </c>
      <c r="L128" t="s">
        <v>53</v>
      </c>
      <c r="M128" t="s">
        <v>135</v>
      </c>
      <c r="N128" s="4">
        <v>46113</v>
      </c>
    </row>
    <row r="129" spans="1:15" x14ac:dyDescent="0.25">
      <c r="A129">
        <v>15</v>
      </c>
      <c r="B129" s="6" t="s">
        <v>134</v>
      </c>
      <c r="C129">
        <v>2</v>
      </c>
      <c r="D129" t="s">
        <v>22</v>
      </c>
      <c r="E129" s="4">
        <v>46104.322916666664</v>
      </c>
      <c r="F129" s="10" t="s">
        <v>16</v>
      </c>
      <c r="G129" t="s">
        <v>161</v>
      </c>
      <c r="J129" s="7">
        <v>9188277</v>
      </c>
      <c r="K129" t="s">
        <v>135</v>
      </c>
      <c r="L129" t="s">
        <v>53</v>
      </c>
      <c r="M129" t="s">
        <v>135</v>
      </c>
      <c r="N129" s="4">
        <v>46113</v>
      </c>
    </row>
    <row r="130" spans="1:15" x14ac:dyDescent="0.25">
      <c r="A130">
        <v>15</v>
      </c>
      <c r="B130" s="6" t="s">
        <v>134</v>
      </c>
      <c r="C130">
        <v>3</v>
      </c>
      <c r="D130" t="s">
        <v>23</v>
      </c>
      <c r="E130" s="4">
        <v>46104.322916666664</v>
      </c>
      <c r="F130" s="10" t="s">
        <v>45</v>
      </c>
      <c r="G130" t="s">
        <v>161</v>
      </c>
      <c r="H130">
        <v>6.9</v>
      </c>
      <c r="I130">
        <v>9.5</v>
      </c>
      <c r="J130" s="7">
        <v>9188277</v>
      </c>
      <c r="K130" t="s">
        <v>135</v>
      </c>
      <c r="L130" t="s">
        <v>53</v>
      </c>
      <c r="M130" t="s">
        <v>135</v>
      </c>
      <c r="N130" s="4">
        <v>46113</v>
      </c>
    </row>
    <row r="131" spans="1:15" x14ac:dyDescent="0.25">
      <c r="A131">
        <v>15</v>
      </c>
      <c r="B131" s="6" t="s">
        <v>134</v>
      </c>
      <c r="C131">
        <v>4</v>
      </c>
      <c r="D131" t="s">
        <v>26</v>
      </c>
      <c r="E131" s="4">
        <v>46104.322916666664</v>
      </c>
      <c r="F131" s="10" t="s">
        <v>136</v>
      </c>
      <c r="G131" t="s">
        <v>161</v>
      </c>
      <c r="I131">
        <v>2500</v>
      </c>
      <c r="J131" s="7">
        <v>9188277</v>
      </c>
      <c r="K131" t="s">
        <v>135</v>
      </c>
      <c r="L131" t="s">
        <v>53</v>
      </c>
      <c r="M131" t="s">
        <v>135</v>
      </c>
      <c r="N131" s="4">
        <v>46113</v>
      </c>
    </row>
    <row r="132" spans="1:15" x14ac:dyDescent="0.25">
      <c r="A132">
        <v>15</v>
      </c>
      <c r="B132" s="6" t="s">
        <v>134</v>
      </c>
      <c r="C132">
        <v>5</v>
      </c>
      <c r="D132" t="s">
        <v>29</v>
      </c>
      <c r="E132" s="4">
        <v>46104.322916666664</v>
      </c>
      <c r="F132" s="10" t="s">
        <v>30</v>
      </c>
      <c r="G132" t="s">
        <v>161</v>
      </c>
      <c r="I132">
        <v>5</v>
      </c>
      <c r="J132" s="7">
        <v>9188277</v>
      </c>
      <c r="K132" t="s">
        <v>135</v>
      </c>
      <c r="L132" t="s">
        <v>53</v>
      </c>
      <c r="M132" t="s">
        <v>135</v>
      </c>
      <c r="N132" s="4">
        <v>46113</v>
      </c>
    </row>
    <row r="133" spans="1:15" x14ac:dyDescent="0.25">
      <c r="A133">
        <v>15</v>
      </c>
      <c r="B133" s="6" t="s">
        <v>134</v>
      </c>
      <c r="C133">
        <v>6</v>
      </c>
      <c r="D133" t="s">
        <v>32</v>
      </c>
      <c r="E133" s="4">
        <v>46104.322916666664</v>
      </c>
      <c r="F133" s="10" t="s">
        <v>137</v>
      </c>
      <c r="G133" t="s">
        <v>161</v>
      </c>
      <c r="I133">
        <v>1</v>
      </c>
      <c r="J133" s="7">
        <v>9188277</v>
      </c>
      <c r="K133" t="s">
        <v>135</v>
      </c>
      <c r="L133" t="s">
        <v>53</v>
      </c>
      <c r="M133" t="s">
        <v>135</v>
      </c>
      <c r="N133" s="4">
        <v>46113</v>
      </c>
    </row>
    <row r="134" spans="1:15" x14ac:dyDescent="0.25">
      <c r="A134">
        <v>15</v>
      </c>
      <c r="B134" s="6" t="s">
        <v>134</v>
      </c>
      <c r="C134">
        <v>7</v>
      </c>
      <c r="D134" t="s">
        <v>35</v>
      </c>
      <c r="E134" s="4">
        <v>46071.385416666664</v>
      </c>
      <c r="F134" s="10" t="s">
        <v>138</v>
      </c>
      <c r="G134" t="s">
        <v>161</v>
      </c>
      <c r="I134">
        <v>500</v>
      </c>
      <c r="J134" s="7">
        <v>8891877</v>
      </c>
      <c r="K134" t="s">
        <v>135</v>
      </c>
      <c r="L134" t="s">
        <v>53</v>
      </c>
      <c r="M134" t="s">
        <v>135</v>
      </c>
      <c r="N134" s="4">
        <v>46091</v>
      </c>
    </row>
    <row r="135" spans="1:15" hidden="1" x14ac:dyDescent="0.25">
      <c r="A135">
        <v>15</v>
      </c>
      <c r="B135" s="5" t="s">
        <v>134</v>
      </c>
      <c r="C135">
        <v>8</v>
      </c>
      <c r="D135" t="s">
        <v>38</v>
      </c>
      <c r="E135" s="4">
        <v>46071.385416666664</v>
      </c>
      <c r="F135" t="s">
        <v>139</v>
      </c>
      <c r="G135" t="s">
        <v>34</v>
      </c>
      <c r="I135">
        <v>250</v>
      </c>
      <c r="J135" s="7">
        <v>8891877</v>
      </c>
      <c r="K135" t="s">
        <v>135</v>
      </c>
      <c r="L135" t="s">
        <v>53</v>
      </c>
      <c r="M135" t="s">
        <v>135</v>
      </c>
      <c r="N135" s="4">
        <v>46091</v>
      </c>
    </row>
    <row r="136" spans="1:15" hidden="1" x14ac:dyDescent="0.25">
      <c r="A136">
        <v>15</v>
      </c>
      <c r="B136" s="5" t="s">
        <v>134</v>
      </c>
      <c r="C136">
        <v>9</v>
      </c>
      <c r="D136" t="s">
        <v>40</v>
      </c>
      <c r="E136" s="4">
        <v>46071.385416666664</v>
      </c>
      <c r="F136" t="s">
        <v>140</v>
      </c>
      <c r="G136" t="s">
        <v>34</v>
      </c>
      <c r="I136">
        <v>50</v>
      </c>
      <c r="J136" s="7">
        <v>8891877</v>
      </c>
      <c r="K136" t="s">
        <v>135</v>
      </c>
      <c r="L136" t="s">
        <v>53</v>
      </c>
      <c r="M136" t="s">
        <v>135</v>
      </c>
      <c r="N136" s="4">
        <v>46091</v>
      </c>
    </row>
    <row r="137" spans="1:15" x14ac:dyDescent="0.25">
      <c r="O137" s="4"/>
    </row>
    <row r="138" spans="1:15" x14ac:dyDescent="0.25">
      <c r="O138" s="4"/>
    </row>
    <row r="139" spans="1:15" x14ac:dyDescent="0.25">
      <c r="O139" s="4"/>
    </row>
    <row r="140" spans="1:15" x14ac:dyDescent="0.25">
      <c r="O140" s="4"/>
    </row>
    <row r="141" spans="1:15" x14ac:dyDescent="0.25">
      <c r="O141" s="4"/>
    </row>
    <row r="142" spans="1:15" x14ac:dyDescent="0.25">
      <c r="O142" s="4"/>
    </row>
    <row r="143" spans="1:15" x14ac:dyDescent="0.25">
      <c r="O143" s="4"/>
    </row>
    <row r="144" spans="1:15" x14ac:dyDescent="0.25">
      <c r="O144" s="4"/>
    </row>
    <row r="145" spans="15:15" x14ac:dyDescent="0.25">
      <c r="O145" s="4"/>
    </row>
  </sheetData>
  <conditionalFormatting sqref="F2:F136">
    <cfRule type="expression" dxfId="7" priority="1">
      <formula>LEN(F2)=0</formula>
    </cfRule>
  </conditionalFormatting>
  <pageMargins left="0.7" right="0.7" top="0.75" bottom="0.75" header="0.3" footer="0.3"/>
  <ignoredErrors>
    <ignoredError sqref="F131" numberStoredAsText="1"/>
    <ignoredError sqref="L128:L137" listDataValidatio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Catalogos!$A$2:$A$16</xm:f>
          </x14:formula1>
          <xm:sqref>B2:B136</xm:sqref>
        </x14:dataValidation>
        <x14:dataValidation type="list" xr:uid="{00000000-0002-0000-0100-000001000000}">
          <x14:formula1>
            <xm:f>Catalogos!$B$2:$B$10</xm:f>
          </x14:formula1>
          <xm:sqref>D2:D136</xm:sqref>
        </x14:dataValidation>
        <x14:dataValidation type="list" xr:uid="{00000000-0002-0000-0100-000002000000}">
          <x14:formula1>
            <xm:f>Catalogos!$C$2:$C$5</xm:f>
          </x14:formula1>
          <xm:sqref>L2:L136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37"/>
  <sheetViews>
    <sheetView tabSelected="1" workbookViewId="0">
      <selection activeCell="K10" sqref="K10"/>
    </sheetView>
  </sheetViews>
  <sheetFormatPr baseColWidth="10" defaultColWidth="9" defaultRowHeight="15" x14ac:dyDescent="0.25"/>
  <cols>
    <col min="1" max="1" width="28" style="9" customWidth="1"/>
    <col min="2" max="2" width="14" style="10" customWidth="1"/>
    <col min="3" max="3" width="18" style="10" customWidth="1"/>
    <col min="4" max="4" width="12" style="10" customWidth="1"/>
    <col min="5" max="5" width="16.5" style="10" bestFit="1" customWidth="1"/>
    <col min="6" max="7" width="11" style="10" customWidth="1"/>
  </cols>
  <sheetData>
    <row r="2" spans="1:7" x14ac:dyDescent="0.25">
      <c r="A2" s="13" t="s">
        <v>1</v>
      </c>
      <c r="B2" s="13" t="s">
        <v>141</v>
      </c>
      <c r="C2" s="13" t="s">
        <v>3</v>
      </c>
      <c r="D2" s="13" t="s">
        <v>5</v>
      </c>
      <c r="E2" s="13" t="s">
        <v>6</v>
      </c>
      <c r="F2" s="13" t="s">
        <v>7</v>
      </c>
      <c r="G2" s="13" t="s">
        <v>8</v>
      </c>
    </row>
    <row r="3" spans="1:7" x14ac:dyDescent="0.25">
      <c r="A3" s="9" t="str">
        <f>Plantilla!B2</f>
        <v>ZONA PEIRÓ</v>
      </c>
      <c r="B3" s="14">
        <f>Plantilla!E2</f>
        <v>46104.375</v>
      </c>
      <c r="C3" s="10" t="str">
        <f>Plantilla!D2</f>
        <v>Microbiologia</v>
      </c>
      <c r="D3" s="10" t="str">
        <f>Plantilla!F2</f>
        <v>Correcte</v>
      </c>
      <c r="E3" s="10" t="str">
        <f>Plantilla!G2</f>
        <v>Correcte / Incorrecte</v>
      </c>
    </row>
    <row r="4" spans="1:7" x14ac:dyDescent="0.25">
      <c r="A4" s="9" t="str">
        <f>Plantilla!B3</f>
        <v>ZONA PEIRÓ</v>
      </c>
      <c r="B4" s="14">
        <f>Plantilla!E3</f>
        <v>46104.375</v>
      </c>
      <c r="C4" s="10" t="str">
        <f>Plantilla!D3</f>
        <v>Organolèptic</v>
      </c>
      <c r="D4" s="10" t="str">
        <f>Plantilla!F3</f>
        <v>Correcte</v>
      </c>
      <c r="E4" s="10" t="str">
        <f>Plantilla!G3</f>
        <v>Correcte / Incorrecte</v>
      </c>
    </row>
    <row r="5" spans="1:7" x14ac:dyDescent="0.25">
      <c r="A5" s="9" t="str">
        <f>Plantilla!B4</f>
        <v>ZONA PEIRÓ</v>
      </c>
      <c r="B5" s="14">
        <f>Plantilla!E4</f>
        <v>46104.375</v>
      </c>
      <c r="C5" s="10" t="str">
        <f>Plantilla!D4</f>
        <v>pH</v>
      </c>
      <c r="D5" s="10" t="str">
        <f>Plantilla!F4</f>
        <v>7.6</v>
      </c>
      <c r="E5" s="10" t="str">
        <f>Plantilla!G4</f>
        <v>U. pH.</v>
      </c>
      <c r="F5" s="10">
        <f>Plantilla!H4</f>
        <v>6.9</v>
      </c>
      <c r="G5" s="10">
        <f>Plantilla!I4</f>
        <v>9.5</v>
      </c>
    </row>
    <row r="6" spans="1:7" x14ac:dyDescent="0.25">
      <c r="A6" s="9" t="str">
        <f>Plantilla!B5</f>
        <v>ZONA PEIRÓ</v>
      </c>
      <c r="B6" s="14">
        <f>Plantilla!E5</f>
        <v>46104.375</v>
      </c>
      <c r="C6" s="10" t="str">
        <f>Plantilla!D5</f>
        <v>Conductivitat</v>
      </c>
      <c r="D6" s="10" t="str">
        <f>Plantilla!F5</f>
        <v>449</v>
      </c>
      <c r="E6" s="10" t="str">
        <f>Plantilla!G5</f>
        <v>µS/cm</v>
      </c>
      <c r="G6" s="10">
        <f>Plantilla!I5</f>
        <v>2500</v>
      </c>
    </row>
    <row r="7" spans="1:7" x14ac:dyDescent="0.25">
      <c r="A7" s="9" t="str">
        <f>Plantilla!B6</f>
        <v>ZONA PEIRÓ</v>
      </c>
      <c r="B7" s="14">
        <f>Plantilla!E6</f>
        <v>46104.375</v>
      </c>
      <c r="C7" s="10" t="str">
        <f>Plantilla!D6</f>
        <v>Terbolesa</v>
      </c>
      <c r="D7" s="10" t="str">
        <f>Plantilla!F6</f>
        <v>&lt; 0.20</v>
      </c>
      <c r="E7" s="10" t="str">
        <f>Plantilla!G6</f>
        <v>UNF</v>
      </c>
      <c r="G7" s="10">
        <f>Plantilla!I6</f>
        <v>5</v>
      </c>
    </row>
    <row r="8" spans="1:7" x14ac:dyDescent="0.25">
      <c r="A8" s="9" t="str">
        <f>Plantilla!B7</f>
        <v>ZONA PEIRÓ</v>
      </c>
      <c r="B8" s="14">
        <f>Plantilla!E7</f>
        <v>46104.375</v>
      </c>
      <c r="C8" s="10" t="str">
        <f>Plantilla!D7</f>
        <v>Clor lliure</v>
      </c>
      <c r="D8" s="10" t="str">
        <f>Plantilla!F7</f>
        <v>0.58</v>
      </c>
      <c r="E8" s="10" t="str">
        <f>Plantilla!G7</f>
        <v>mg/L</v>
      </c>
      <c r="G8" s="10">
        <f>Plantilla!I7</f>
        <v>1</v>
      </c>
    </row>
    <row r="9" spans="1:7" x14ac:dyDescent="0.25">
      <c r="A9" s="9" t="str">
        <f>Plantilla!B8</f>
        <v>ZONA PEIRÓ</v>
      </c>
      <c r="B9" s="14">
        <f>Plantilla!E8</f>
        <v>46051.385416666664</v>
      </c>
      <c r="C9" s="10" t="str">
        <f>Plantilla!D8</f>
        <v>Duresa</v>
      </c>
      <c r="D9" s="10" t="str">
        <f>Plantilla!F8</f>
        <v>160.3</v>
      </c>
      <c r="E9" s="10" t="str">
        <f>Plantilla!G8</f>
        <v>mg/L CaCo3</v>
      </c>
      <c r="G9" s="10">
        <f>Plantilla!I8</f>
        <v>500</v>
      </c>
    </row>
    <row r="10" spans="1:7" x14ac:dyDescent="0.25">
      <c r="A10" s="9" t="str">
        <f>Plantilla!B9</f>
        <v>ZONA PEIRÓ</v>
      </c>
      <c r="B10" s="14">
        <f>Plantilla!E9</f>
        <v>46051.385416666664</v>
      </c>
      <c r="C10" s="10" t="str">
        <f>Plantilla!D9</f>
        <v>Clorurs</v>
      </c>
      <c r="D10" s="10" t="str">
        <f>Plantilla!F9</f>
        <v>23.3</v>
      </c>
      <c r="E10" s="10" t="str">
        <f>Plantilla!G9</f>
        <v>mg/L</v>
      </c>
      <c r="G10" s="10">
        <f>Plantilla!I9</f>
        <v>250</v>
      </c>
    </row>
    <row r="11" spans="1:7" x14ac:dyDescent="0.25">
      <c r="A11" s="9" t="str">
        <f>Plantilla!B10</f>
        <v>ZONA PEIRÓ</v>
      </c>
      <c r="B11" s="14">
        <f>Plantilla!E10</f>
        <v>46051.385416666664</v>
      </c>
      <c r="C11" s="10" t="str">
        <f>Plantilla!D10</f>
        <v>Nitrats</v>
      </c>
      <c r="D11" s="10" t="str">
        <f>Plantilla!F10</f>
        <v>&lt; 0.5</v>
      </c>
      <c r="E11" s="10" t="str">
        <f>Plantilla!G10</f>
        <v>mg/L</v>
      </c>
      <c r="G11" s="10">
        <f>Plantilla!I10</f>
        <v>50</v>
      </c>
    </row>
    <row r="12" spans="1:7" x14ac:dyDescent="0.25">
      <c r="A12" s="9" t="str">
        <f>Plantilla!B11</f>
        <v>ZONA CREUS</v>
      </c>
      <c r="B12" s="14">
        <f>Plantilla!E11</f>
        <v>46077.416666666664</v>
      </c>
      <c r="C12" s="10" t="str">
        <f>Plantilla!D11</f>
        <v>Microbiologia</v>
      </c>
      <c r="D12" s="10" t="str">
        <f>Plantilla!F11</f>
        <v>Correcte</v>
      </c>
      <c r="E12" s="10" t="str">
        <f>Plantilla!G11</f>
        <v>Correcte / Incorrecte</v>
      </c>
    </row>
    <row r="13" spans="1:7" x14ac:dyDescent="0.25">
      <c r="A13" s="9" t="str">
        <f>Plantilla!B12</f>
        <v>ZONA CREUS</v>
      </c>
      <c r="B13" s="14">
        <f>Plantilla!E12</f>
        <v>46077.416666666664</v>
      </c>
      <c r="C13" s="10" t="str">
        <f>Plantilla!D12</f>
        <v>Organolèptic</v>
      </c>
      <c r="D13" s="10" t="str">
        <f>Plantilla!F12</f>
        <v>Correcte</v>
      </c>
      <c r="E13" s="10" t="str">
        <f>Plantilla!G12</f>
        <v>Correcte / Incorrecte</v>
      </c>
    </row>
    <row r="14" spans="1:7" x14ac:dyDescent="0.25">
      <c r="A14" s="9" t="str">
        <f>Plantilla!B13</f>
        <v>ZONA CREUS</v>
      </c>
      <c r="B14" s="14">
        <f>Plantilla!E13</f>
        <v>46077.416666666664</v>
      </c>
      <c r="C14" s="10" t="str">
        <f>Plantilla!D13</f>
        <v>pH</v>
      </c>
      <c r="D14" s="10" t="str">
        <f>Plantilla!F13</f>
        <v>7.8</v>
      </c>
      <c r="E14" s="10" t="str">
        <f>Plantilla!G13</f>
        <v>U. pH.</v>
      </c>
      <c r="F14" s="10">
        <f>Plantilla!H13</f>
        <v>6.9</v>
      </c>
      <c r="G14" s="10">
        <f>Plantilla!I13</f>
        <v>9.5</v>
      </c>
    </row>
    <row r="15" spans="1:7" x14ac:dyDescent="0.25">
      <c r="A15" s="9" t="str">
        <f>Plantilla!B14</f>
        <v>ZONA CREUS</v>
      </c>
      <c r="B15" s="14">
        <f>Plantilla!E14</f>
        <v>46077.416666666664</v>
      </c>
      <c r="C15" s="10" t="str">
        <f>Plantilla!D14</f>
        <v>Conductivitat</v>
      </c>
      <c r="D15" s="10" t="str">
        <f>Plantilla!F14</f>
        <v>594</v>
      </c>
      <c r="E15" s="10" t="str">
        <f>Plantilla!G14</f>
        <v>µS/cm</v>
      </c>
      <c r="G15" s="10">
        <f>Plantilla!I14</f>
        <v>2500</v>
      </c>
    </row>
    <row r="16" spans="1:7" x14ac:dyDescent="0.25">
      <c r="A16" s="9" t="str">
        <f>Plantilla!B15</f>
        <v>ZONA CREUS</v>
      </c>
      <c r="B16" s="14">
        <f>Plantilla!E15</f>
        <v>46077.416666666664</v>
      </c>
      <c r="C16" s="10" t="str">
        <f>Plantilla!D15</f>
        <v>Terbolesa</v>
      </c>
      <c r="D16" s="10" t="str">
        <f>Plantilla!F15</f>
        <v>&lt; 0.20</v>
      </c>
      <c r="E16" s="10" t="str">
        <f>Plantilla!G15</f>
        <v>UNF</v>
      </c>
      <c r="G16" s="10">
        <f>Plantilla!I15</f>
        <v>5</v>
      </c>
    </row>
    <row r="17" spans="1:7" x14ac:dyDescent="0.25">
      <c r="A17" s="9" t="str">
        <f>Plantilla!B16</f>
        <v>ZONA CREUS</v>
      </c>
      <c r="B17" s="14">
        <f>Plantilla!E16</f>
        <v>46077.416666666664</v>
      </c>
      <c r="C17" s="10" t="str">
        <f>Plantilla!D16</f>
        <v>Clor lliure</v>
      </c>
      <c r="D17" s="10" t="str">
        <f>Plantilla!F16</f>
        <v>0.57</v>
      </c>
      <c r="E17" s="10" t="str">
        <f>Plantilla!G16</f>
        <v>mg/L</v>
      </c>
      <c r="G17" s="10">
        <f>Plantilla!I16</f>
        <v>1</v>
      </c>
    </row>
    <row r="18" spans="1:7" x14ac:dyDescent="0.25">
      <c r="A18" s="9" t="str">
        <f>Plantilla!B17</f>
        <v>ZONA CREUS</v>
      </c>
      <c r="B18" s="14">
        <f>Plantilla!E17</f>
        <v>46051.399305555555</v>
      </c>
      <c r="C18" s="10" t="str">
        <f>Plantilla!D17</f>
        <v>Duresa</v>
      </c>
      <c r="D18" s="10" t="str">
        <f>Plantilla!F17</f>
        <v>234.4</v>
      </c>
      <c r="E18" s="10" t="str">
        <f>Plantilla!G17</f>
        <v>mg/L CaCo3</v>
      </c>
      <c r="G18" s="10">
        <f>Plantilla!I17</f>
        <v>500</v>
      </c>
    </row>
    <row r="19" spans="1:7" x14ac:dyDescent="0.25">
      <c r="A19" s="9" t="str">
        <f>Plantilla!B18</f>
        <v>ZONA CREUS</v>
      </c>
      <c r="B19" s="14">
        <f>Plantilla!E18</f>
        <v>46051.399305555555</v>
      </c>
      <c r="C19" s="10" t="str">
        <f>Plantilla!D18</f>
        <v>Clorurs</v>
      </c>
      <c r="D19" s="10" t="str">
        <f>Plantilla!F18</f>
        <v>36.1</v>
      </c>
      <c r="E19" s="10" t="str">
        <f>Plantilla!G18</f>
        <v>mg/L CaCo3</v>
      </c>
      <c r="G19" s="10">
        <f>Plantilla!I18</f>
        <v>250</v>
      </c>
    </row>
    <row r="20" spans="1:7" x14ac:dyDescent="0.25">
      <c r="A20" s="9" t="str">
        <f>Plantilla!B19</f>
        <v>ZONA CREUS</v>
      </c>
      <c r="B20" s="14">
        <f>Plantilla!E19</f>
        <v>46051.399305555555</v>
      </c>
      <c r="C20" s="10" t="str">
        <f>Plantilla!D19</f>
        <v>Nitrats</v>
      </c>
      <c r="D20" s="10" t="str">
        <f>Plantilla!F19</f>
        <v>36.8</v>
      </c>
      <c r="E20" s="10" t="str">
        <f>Plantilla!G19</f>
        <v>mg/L CaCo3</v>
      </c>
      <c r="G20" s="10">
        <f>Plantilla!I19</f>
        <v>50</v>
      </c>
    </row>
    <row r="21" spans="1:7" x14ac:dyDescent="0.25">
      <c r="A21" s="9" t="str">
        <f>Plantilla!B20</f>
        <v>ZONA ERMITA</v>
      </c>
      <c r="B21" s="14">
        <f>Plantilla!E20</f>
        <v>46099.40625</v>
      </c>
      <c r="C21" s="10" t="str">
        <f>Plantilla!D20</f>
        <v>Microbiologia</v>
      </c>
      <c r="D21" s="10" t="str">
        <f>Plantilla!F20</f>
        <v>Correcte</v>
      </c>
      <c r="E21" s="10" t="str">
        <f>Plantilla!G20</f>
        <v>mg/L CaCo3</v>
      </c>
    </row>
    <row r="22" spans="1:7" x14ac:dyDescent="0.25">
      <c r="A22" s="9" t="str">
        <f>Plantilla!B21</f>
        <v>ZONA ERMITA</v>
      </c>
      <c r="B22" s="14">
        <f>Plantilla!E21</f>
        <v>46099.40625</v>
      </c>
      <c r="C22" s="10" t="str">
        <f>Plantilla!D21</f>
        <v>Organolèptic</v>
      </c>
      <c r="D22" s="10" t="str">
        <f>Plantilla!F21</f>
        <v>Correcte</v>
      </c>
      <c r="E22" s="10" t="str">
        <f>Plantilla!G21</f>
        <v>mg/L CaCo3</v>
      </c>
    </row>
    <row r="23" spans="1:7" x14ac:dyDescent="0.25">
      <c r="A23" s="9" t="str">
        <f>Plantilla!B22</f>
        <v>ZONA ERMITA</v>
      </c>
      <c r="B23" s="14">
        <f>Plantilla!E22</f>
        <v>46099.40625</v>
      </c>
      <c r="C23" s="10" t="str">
        <f>Plantilla!D22</f>
        <v>pH</v>
      </c>
      <c r="D23" s="10" t="str">
        <f>Plantilla!F22</f>
        <v>7.5</v>
      </c>
      <c r="E23" s="10" t="str">
        <f>Plantilla!G22</f>
        <v>mg/L CaCo3</v>
      </c>
      <c r="F23" s="10">
        <f>Plantilla!H22</f>
        <v>6.9</v>
      </c>
      <c r="G23" s="10">
        <f>Plantilla!I22</f>
        <v>9.5</v>
      </c>
    </row>
    <row r="24" spans="1:7" x14ac:dyDescent="0.25">
      <c r="A24" s="9" t="str">
        <f>Plantilla!B23</f>
        <v>ZONA ERMITA</v>
      </c>
      <c r="B24" s="14">
        <f>Plantilla!E23</f>
        <v>46099.40625</v>
      </c>
      <c r="C24" s="10" t="str">
        <f>Plantilla!D23</f>
        <v>Conductivitat</v>
      </c>
      <c r="D24" s="10">
        <f>Plantilla!F23</f>
        <v>671</v>
      </c>
      <c r="E24" s="10" t="str">
        <f>Plantilla!G23</f>
        <v>mg/L CaCo3</v>
      </c>
      <c r="G24" s="10">
        <f>Plantilla!I23</f>
        <v>2500</v>
      </c>
    </row>
    <row r="25" spans="1:7" x14ac:dyDescent="0.25">
      <c r="A25" s="9" t="str">
        <f>Plantilla!B24</f>
        <v>ZONA ERMITA</v>
      </c>
      <c r="B25" s="14">
        <f>Plantilla!E24</f>
        <v>46099.40625</v>
      </c>
      <c r="C25" s="10" t="str">
        <f>Plantilla!D24</f>
        <v>Terbolesa</v>
      </c>
      <c r="D25" s="10" t="str">
        <f>Plantilla!F24</f>
        <v>1.22</v>
      </c>
      <c r="E25" s="10" t="str">
        <f>Plantilla!G24</f>
        <v>mg/L CaCo3</v>
      </c>
      <c r="G25" s="10">
        <f>Plantilla!I24</f>
        <v>5</v>
      </c>
    </row>
    <row r="26" spans="1:7" x14ac:dyDescent="0.25">
      <c r="A26" s="9" t="str">
        <f>Plantilla!B25</f>
        <v>ZONA ERMITA</v>
      </c>
      <c r="B26" s="14">
        <f>Plantilla!E25</f>
        <v>46099.40625</v>
      </c>
      <c r="C26" s="10" t="str">
        <f>Plantilla!D25</f>
        <v>Clor lliure</v>
      </c>
      <c r="D26" s="10" t="str">
        <f>Plantilla!F25</f>
        <v>0.21</v>
      </c>
      <c r="E26" s="10" t="str">
        <f>Plantilla!G25</f>
        <v>mg/L CaCo3</v>
      </c>
      <c r="G26" s="10">
        <f>Plantilla!I25</f>
        <v>1</v>
      </c>
    </row>
    <row r="27" spans="1:7" x14ac:dyDescent="0.25">
      <c r="A27" s="9" t="str">
        <f>Plantilla!B26</f>
        <v>ZONA ERMITA</v>
      </c>
      <c r="B27" s="14">
        <f>Plantilla!E26</f>
        <v>45833</v>
      </c>
      <c r="C27" s="10" t="str">
        <f>Plantilla!D26</f>
        <v>Duresa</v>
      </c>
      <c r="D27" s="10">
        <f>Plantilla!F26</f>
        <v>248.7</v>
      </c>
      <c r="E27" s="10" t="str">
        <f>Plantilla!G26</f>
        <v>mg/L CaCo3</v>
      </c>
      <c r="G27" s="10">
        <f>Plantilla!I26</f>
        <v>500</v>
      </c>
    </row>
    <row r="28" spans="1:7" x14ac:dyDescent="0.25">
      <c r="A28" s="9" t="str">
        <f>Plantilla!B27</f>
        <v>ZONA ERMITA</v>
      </c>
      <c r="B28" s="14">
        <f>Plantilla!E27</f>
        <v>46090</v>
      </c>
      <c r="C28" s="10" t="str">
        <f>Plantilla!D27</f>
        <v>Clorurs</v>
      </c>
      <c r="D28" s="10" t="str">
        <f>Plantilla!F27</f>
        <v>38.81</v>
      </c>
      <c r="E28" s="10" t="str">
        <f>Plantilla!G27</f>
        <v>mg/L CaCo3</v>
      </c>
      <c r="G28" s="10">
        <f>Plantilla!I27</f>
        <v>250</v>
      </c>
    </row>
    <row r="29" spans="1:7" x14ac:dyDescent="0.25">
      <c r="A29" s="9" t="str">
        <f>Plantilla!B28</f>
        <v>ZONA ERMITA</v>
      </c>
      <c r="B29" s="14">
        <f>Plantilla!E28</f>
        <v>46090</v>
      </c>
      <c r="C29" s="10" t="str">
        <f>Plantilla!D28</f>
        <v>Nitrats</v>
      </c>
      <c r="D29" s="10" t="str">
        <f>Plantilla!F28</f>
        <v>&lt; 0.50</v>
      </c>
      <c r="E29" s="10" t="str">
        <f>Plantilla!G28</f>
        <v>mg/L CaCo3</v>
      </c>
      <c r="G29" s="10">
        <f>Plantilla!I28</f>
        <v>50</v>
      </c>
    </row>
    <row r="30" spans="1:7" x14ac:dyDescent="0.25">
      <c r="A30" s="9" t="str">
        <f>Plantilla!B29</f>
        <v>ZONA CLUB MONT-ROIG</v>
      </c>
      <c r="B30" s="14">
        <f>Plantilla!E29</f>
        <v>46104.357638888891</v>
      </c>
      <c r="C30" s="10" t="str">
        <f>Plantilla!D29</f>
        <v>Microbiologia</v>
      </c>
      <c r="D30" s="10" t="str">
        <f>Plantilla!F29</f>
        <v>Correcte</v>
      </c>
      <c r="E30" s="10" t="str">
        <f>Plantilla!G29</f>
        <v>mg/L CaCo3</v>
      </c>
    </row>
    <row r="31" spans="1:7" x14ac:dyDescent="0.25">
      <c r="A31" s="9" t="str">
        <f>Plantilla!B30</f>
        <v>ZONA CLUB MONT-ROIG</v>
      </c>
      <c r="B31" s="14">
        <f>Plantilla!E30</f>
        <v>46104.357638888891</v>
      </c>
      <c r="C31" s="10" t="str">
        <f>Plantilla!D30</f>
        <v>Organolèptic</v>
      </c>
      <c r="D31" s="10" t="str">
        <f>Plantilla!F30</f>
        <v>Correcte</v>
      </c>
      <c r="E31" s="10" t="str">
        <f>Plantilla!G30</f>
        <v>mg/L CaCo3</v>
      </c>
    </row>
    <row r="32" spans="1:7" x14ac:dyDescent="0.25">
      <c r="A32" s="9" t="str">
        <f>Plantilla!B31</f>
        <v>ZONA CLUB MONT-ROIG</v>
      </c>
      <c r="B32" s="14">
        <f>Plantilla!E31</f>
        <v>46104.357638888891</v>
      </c>
      <c r="C32" s="10" t="str">
        <f>Plantilla!D31</f>
        <v>pH</v>
      </c>
      <c r="D32" s="10" t="str">
        <f>Plantilla!F31</f>
        <v>7.7</v>
      </c>
      <c r="E32" s="10" t="str">
        <f>Plantilla!G31</f>
        <v>mg/L CaCo3</v>
      </c>
      <c r="F32" s="10">
        <f>Plantilla!H31</f>
        <v>6.9</v>
      </c>
      <c r="G32" s="10">
        <f>Plantilla!I31</f>
        <v>9.5</v>
      </c>
    </row>
    <row r="33" spans="1:7" x14ac:dyDescent="0.25">
      <c r="A33" s="9" t="str">
        <f>Plantilla!B32</f>
        <v>ZONA CLUB MONT-ROIG</v>
      </c>
      <c r="B33" s="14">
        <f>Plantilla!E32</f>
        <v>46104.357638888891</v>
      </c>
      <c r="C33" s="10" t="str">
        <f>Plantilla!D32</f>
        <v>Conductivitat</v>
      </c>
      <c r="D33" s="10">
        <f>Plantilla!F32</f>
        <v>518</v>
      </c>
      <c r="E33" s="10" t="str">
        <f>Plantilla!G32</f>
        <v>mg/L CaCo3</v>
      </c>
      <c r="G33" s="10">
        <f>Plantilla!I32</f>
        <v>2500</v>
      </c>
    </row>
    <row r="34" spans="1:7" x14ac:dyDescent="0.25">
      <c r="A34" s="9" t="str">
        <f>Plantilla!B33</f>
        <v>ZONA CLUB MONT-ROIG</v>
      </c>
      <c r="B34" s="14">
        <f>Plantilla!E33</f>
        <v>46104.357638888891</v>
      </c>
      <c r="C34" s="10" t="str">
        <f>Plantilla!D33</f>
        <v>Terbolesa</v>
      </c>
      <c r="D34" s="10" t="str">
        <f>Plantilla!F33</f>
        <v>&lt; 0.20</v>
      </c>
      <c r="E34" s="10" t="str">
        <f>Plantilla!G33</f>
        <v>mg/L CaCo3</v>
      </c>
      <c r="G34" s="10">
        <f>Plantilla!I33</f>
        <v>5</v>
      </c>
    </row>
    <row r="35" spans="1:7" x14ac:dyDescent="0.25">
      <c r="A35" s="9" t="str">
        <f>Plantilla!B34</f>
        <v>ZONA CLUB MONT-ROIG</v>
      </c>
      <c r="B35" s="14">
        <f>Plantilla!E34</f>
        <v>46104.357638888891</v>
      </c>
      <c r="C35" s="10" t="str">
        <f>Plantilla!D34</f>
        <v>Clor lliure</v>
      </c>
      <c r="D35" s="10" t="str">
        <f>Plantilla!F34</f>
        <v>0.23</v>
      </c>
      <c r="E35" s="10" t="str">
        <f>Plantilla!G34</f>
        <v>mg/L CaCo3</v>
      </c>
      <c r="G35" s="10">
        <f>Plantilla!I34</f>
        <v>1</v>
      </c>
    </row>
    <row r="36" spans="1:7" x14ac:dyDescent="0.25">
      <c r="A36" s="9" t="str">
        <f>Plantilla!B35</f>
        <v>ZONA CLUB MONT-ROIG</v>
      </c>
      <c r="B36" s="14">
        <f>Plantilla!E35</f>
        <v>46052.375</v>
      </c>
      <c r="C36" s="10" t="str">
        <f>Plantilla!D35</f>
        <v>Duresa</v>
      </c>
      <c r="D36" s="10" t="str">
        <f>Plantilla!F35</f>
        <v>220.9</v>
      </c>
      <c r="E36" s="10" t="str">
        <f>Plantilla!G35</f>
        <v>mg/L CaCo3</v>
      </c>
      <c r="G36" s="10">
        <f>Plantilla!I35</f>
        <v>500</v>
      </c>
    </row>
    <row r="37" spans="1:7" x14ac:dyDescent="0.25">
      <c r="A37" s="9" t="str">
        <f>Plantilla!B36</f>
        <v>ZONA CLUB MONT-ROIG</v>
      </c>
      <c r="B37" s="14">
        <f>Plantilla!E36</f>
        <v>46052.375</v>
      </c>
      <c r="C37" s="10" t="str">
        <f>Plantilla!D36</f>
        <v>Clorurs</v>
      </c>
      <c r="D37" s="10" t="str">
        <f>Plantilla!F36</f>
        <v>34.6</v>
      </c>
      <c r="E37" s="10" t="str">
        <f>Plantilla!G36</f>
        <v>mg/L CaCo3</v>
      </c>
      <c r="G37" s="10">
        <f>Plantilla!I36</f>
        <v>250</v>
      </c>
    </row>
    <row r="38" spans="1:7" x14ac:dyDescent="0.25">
      <c r="A38" s="9" t="str">
        <f>Plantilla!B37</f>
        <v>ZONA CLUB MONT-ROIG</v>
      </c>
      <c r="B38" s="14">
        <f>Plantilla!E37</f>
        <v>46052.375</v>
      </c>
      <c r="C38" s="10" t="str">
        <f>Plantilla!D37</f>
        <v>Nitrats</v>
      </c>
      <c r="D38" s="10" t="str">
        <f>Plantilla!F37</f>
        <v>37.7</v>
      </c>
      <c r="E38" s="10" t="str">
        <f>Plantilla!G37</f>
        <v>mg/L CaCo3</v>
      </c>
      <c r="G38" s="10">
        <f>Plantilla!I37</f>
        <v>50</v>
      </c>
    </row>
    <row r="39" spans="1:7" x14ac:dyDescent="0.25">
      <c r="A39" s="9" t="str">
        <f>Plantilla!B38</f>
        <v>ZONA BADIA-MAINOU-JARDINS-BALNEARI</v>
      </c>
      <c r="B39" s="14">
        <f>Plantilla!E38</f>
        <v>46106.395833333336</v>
      </c>
      <c r="C39" s="10" t="str">
        <f>Plantilla!D38</f>
        <v>Microbiologia</v>
      </c>
      <c r="D39" s="10" t="str">
        <f>Plantilla!F38</f>
        <v>Correcte</v>
      </c>
      <c r="E39" s="10" t="str">
        <f>Plantilla!G38</f>
        <v>mg/L CaCo3</v>
      </c>
    </row>
    <row r="40" spans="1:7" x14ac:dyDescent="0.25">
      <c r="A40" s="9" t="str">
        <f>Plantilla!B39</f>
        <v>ZONA BADIA-MAINOU-JARDINS-BALNEARI</v>
      </c>
      <c r="B40" s="14">
        <f>Plantilla!E39</f>
        <v>46106.395833333336</v>
      </c>
      <c r="C40" s="10" t="str">
        <f>Plantilla!D39</f>
        <v>Organolèptic</v>
      </c>
      <c r="D40" s="10" t="str">
        <f>Plantilla!F39</f>
        <v>Correcte</v>
      </c>
      <c r="E40" s="10" t="str">
        <f>Plantilla!G39</f>
        <v>mg/L CaCo3</v>
      </c>
    </row>
    <row r="41" spans="1:7" x14ac:dyDescent="0.25">
      <c r="A41" s="9" t="str">
        <f>Plantilla!B40</f>
        <v>ZONA BADIA-MAINOU-JARDINS-BALNEARI</v>
      </c>
      <c r="B41" s="14">
        <f>Plantilla!E40</f>
        <v>46106.395833333336</v>
      </c>
      <c r="C41" s="10" t="str">
        <f>Plantilla!D40</f>
        <v>pH</v>
      </c>
      <c r="D41" s="10" t="str">
        <f>Plantilla!F40</f>
        <v>7.9</v>
      </c>
      <c r="E41" s="10" t="str">
        <f>Plantilla!G40</f>
        <v>mg/L CaCo3</v>
      </c>
      <c r="F41" s="10">
        <f>Plantilla!H40</f>
        <v>6.9</v>
      </c>
      <c r="G41" s="10">
        <f>Plantilla!I40</f>
        <v>9.5</v>
      </c>
    </row>
    <row r="42" spans="1:7" x14ac:dyDescent="0.25">
      <c r="A42" s="9" t="str">
        <f>Plantilla!B41</f>
        <v>ZONA BADIA-MAINOU-JARDINS-BALNEARI</v>
      </c>
      <c r="B42" s="14">
        <f>Plantilla!E41</f>
        <v>46106.395833333336</v>
      </c>
      <c r="C42" s="10" t="str">
        <f>Plantilla!D41</f>
        <v>Conductivitat</v>
      </c>
      <c r="D42" s="10">
        <f>Plantilla!F41</f>
        <v>505</v>
      </c>
      <c r="E42" s="10" t="str">
        <f>Plantilla!G41</f>
        <v>mg/L CaCo3</v>
      </c>
      <c r="G42" s="10">
        <f>Plantilla!I41</f>
        <v>2500</v>
      </c>
    </row>
    <row r="43" spans="1:7" x14ac:dyDescent="0.25">
      <c r="A43" s="9" t="str">
        <f>Plantilla!B42</f>
        <v>ZONA BADIA-MAINOU-JARDINS-BALNEARI</v>
      </c>
      <c r="B43" s="14">
        <f>Plantilla!E42</f>
        <v>46106.395833333336</v>
      </c>
      <c r="C43" s="10" t="str">
        <f>Plantilla!D42</f>
        <v>Terbolesa</v>
      </c>
      <c r="D43" s="10" t="str">
        <f>Plantilla!F42</f>
        <v>0.67</v>
      </c>
      <c r="E43" s="10" t="str">
        <f>Plantilla!G42</f>
        <v>mg/L CaCo3</v>
      </c>
      <c r="G43" s="10">
        <f>Plantilla!I42</f>
        <v>5</v>
      </c>
    </row>
    <row r="44" spans="1:7" x14ac:dyDescent="0.25">
      <c r="A44" s="9" t="str">
        <f>Plantilla!B43</f>
        <v>ZONA BADIA-MAINOU-JARDINS-BALNEARI</v>
      </c>
      <c r="B44" s="14">
        <f>Plantilla!E43</f>
        <v>46106.395833333336</v>
      </c>
      <c r="C44" s="10" t="str">
        <f>Plantilla!D43</f>
        <v>Clor lliure</v>
      </c>
      <c r="D44" s="10" t="str">
        <f>Plantilla!F43</f>
        <v>0.60</v>
      </c>
      <c r="E44" s="10" t="str">
        <f>Plantilla!G43</f>
        <v>mg/L CaCo3</v>
      </c>
      <c r="G44" s="10">
        <f>Plantilla!I43</f>
        <v>1</v>
      </c>
    </row>
    <row r="45" spans="1:7" x14ac:dyDescent="0.25">
      <c r="A45" s="9" t="str">
        <f>Plantilla!B44</f>
        <v>ZONA BADIA-MAINOU-JARDINS-BALNEARI</v>
      </c>
      <c r="B45" s="14">
        <f>Plantilla!E44</f>
        <v>46052.458333333336</v>
      </c>
      <c r="C45" s="10" t="str">
        <f>Plantilla!D44</f>
        <v>Duresa</v>
      </c>
      <c r="D45" s="10" t="str">
        <f>Plantilla!F44</f>
        <v>198.5</v>
      </c>
      <c r="E45" s="10" t="str">
        <f>Plantilla!G44</f>
        <v>mg/L CaCo3</v>
      </c>
      <c r="G45" s="10">
        <f>Plantilla!I44</f>
        <v>500</v>
      </c>
    </row>
    <row r="46" spans="1:7" x14ac:dyDescent="0.25">
      <c r="A46" s="9" t="str">
        <f>Plantilla!B45</f>
        <v>ZONA BADIA-MAINOU-JARDINS-BALNEARI</v>
      </c>
      <c r="B46" s="14">
        <f>Plantilla!E45</f>
        <v>46052.458333333336</v>
      </c>
      <c r="C46" s="10" t="str">
        <f>Plantilla!D45</f>
        <v>Clorurs</v>
      </c>
      <c r="D46" s="10" t="str">
        <f>Plantilla!F45</f>
        <v>36.9</v>
      </c>
      <c r="E46" s="10" t="str">
        <f>Plantilla!G45</f>
        <v>mg/L CaCo3</v>
      </c>
      <c r="G46" s="10">
        <f>Plantilla!I45</f>
        <v>250</v>
      </c>
    </row>
    <row r="47" spans="1:7" x14ac:dyDescent="0.25">
      <c r="A47" s="9" t="str">
        <f>Plantilla!B46</f>
        <v>ZONA BADIA-MAINOU-JARDINS-BALNEARI</v>
      </c>
      <c r="B47" s="14">
        <f>Plantilla!E46</f>
        <v>46052.458333333336</v>
      </c>
      <c r="C47" s="10" t="str">
        <f>Plantilla!D46</f>
        <v>Nitrats</v>
      </c>
      <c r="D47" s="10" t="str">
        <f>Plantilla!F46</f>
        <v>35.1</v>
      </c>
      <c r="E47" s="10" t="str">
        <f>Plantilla!G46</f>
        <v>mg/L CaCo3</v>
      </c>
      <c r="G47" s="10">
        <f>Plantilla!I46</f>
        <v>50</v>
      </c>
    </row>
    <row r="48" spans="1:7" x14ac:dyDescent="0.25">
      <c r="A48" s="9" t="str">
        <f>Plantilla!B47</f>
        <v>ZONA SANT MIQUEL-RUSTICAL</v>
      </c>
      <c r="B48" s="14">
        <f>Plantilla!E47</f>
        <v>46106.340277777781</v>
      </c>
      <c r="C48" s="10" t="str">
        <f>Plantilla!D47</f>
        <v>Microbiologia</v>
      </c>
      <c r="D48" s="10" t="str">
        <f>Plantilla!F47</f>
        <v>Correcte</v>
      </c>
      <c r="E48" s="10" t="str">
        <f>Plantilla!G47</f>
        <v>mg/L CaCo3</v>
      </c>
    </row>
    <row r="49" spans="1:7" x14ac:dyDescent="0.25">
      <c r="A49" s="9" t="str">
        <f>Plantilla!B48</f>
        <v>ZONA SANT MIQUEL-RUSTICAL</v>
      </c>
      <c r="B49" s="14">
        <f>Plantilla!E48</f>
        <v>46106.340277777781</v>
      </c>
      <c r="C49" s="10" t="str">
        <f>Plantilla!D48</f>
        <v>Organolèptic</v>
      </c>
      <c r="D49" s="10" t="str">
        <f>Plantilla!F48</f>
        <v>Correcte</v>
      </c>
      <c r="E49" s="10" t="str">
        <f>Plantilla!G48</f>
        <v>mg/L CaCo3</v>
      </c>
    </row>
    <row r="50" spans="1:7" x14ac:dyDescent="0.25">
      <c r="A50" s="9" t="str">
        <f>Plantilla!B49</f>
        <v>ZONA SANT MIQUEL-RUSTICAL</v>
      </c>
      <c r="B50" s="14">
        <f>Plantilla!E49</f>
        <v>46106.340277777781</v>
      </c>
      <c r="C50" s="10" t="str">
        <f>Plantilla!D49</f>
        <v>pH</v>
      </c>
      <c r="D50" s="10" t="str">
        <f>Plantilla!F49</f>
        <v>7.6</v>
      </c>
      <c r="E50" s="10" t="str">
        <f>Plantilla!G49</f>
        <v>mg/L CaCo3</v>
      </c>
      <c r="F50" s="10">
        <f>Plantilla!H49</f>
        <v>6.9</v>
      </c>
      <c r="G50" s="10">
        <f>Plantilla!I49</f>
        <v>9.5</v>
      </c>
    </row>
    <row r="51" spans="1:7" x14ac:dyDescent="0.25">
      <c r="A51" s="9" t="str">
        <f>Plantilla!B50</f>
        <v>ZONA SANT MIQUEL-RUSTICAL</v>
      </c>
      <c r="B51" s="14">
        <f>Plantilla!E50</f>
        <v>46106.340277777781</v>
      </c>
      <c r="C51" s="10" t="str">
        <f>Plantilla!D50</f>
        <v>Conductivitat</v>
      </c>
      <c r="D51" s="10">
        <f>Plantilla!F50</f>
        <v>1842</v>
      </c>
      <c r="E51" s="10" t="str">
        <f>Plantilla!G50</f>
        <v>mg/L CaCo3</v>
      </c>
      <c r="G51" s="10">
        <f>Plantilla!I50</f>
        <v>2500</v>
      </c>
    </row>
    <row r="52" spans="1:7" x14ac:dyDescent="0.25">
      <c r="A52" s="9" t="str">
        <f>Plantilla!B51</f>
        <v>ZONA SANT MIQUEL-RUSTICAL</v>
      </c>
      <c r="B52" s="14">
        <f>Plantilla!E51</f>
        <v>46106.340277777781</v>
      </c>
      <c r="C52" s="10" t="str">
        <f>Plantilla!D51</f>
        <v>Terbolesa</v>
      </c>
      <c r="D52" s="10" t="str">
        <f>Plantilla!F51</f>
        <v>0.73</v>
      </c>
      <c r="E52" s="10" t="str">
        <f>Plantilla!G51</f>
        <v>mg/L CaCo3</v>
      </c>
      <c r="G52" s="10">
        <f>Plantilla!I51</f>
        <v>5</v>
      </c>
    </row>
    <row r="53" spans="1:7" x14ac:dyDescent="0.25">
      <c r="A53" s="9" t="str">
        <f>Plantilla!B52</f>
        <v>ZONA SANT MIQUEL-RUSTICAL</v>
      </c>
      <c r="B53" s="14">
        <f>Plantilla!E52</f>
        <v>46106.340277777781</v>
      </c>
      <c r="C53" s="10" t="str">
        <f>Plantilla!D52</f>
        <v>Clor lliure</v>
      </c>
      <c r="D53" s="10" t="str">
        <f>Plantilla!F52</f>
        <v>0.38</v>
      </c>
      <c r="E53" s="10" t="str">
        <f>Plantilla!G52</f>
        <v>mg/L CaCo3</v>
      </c>
      <c r="G53" s="10">
        <f>Plantilla!I52</f>
        <v>1</v>
      </c>
    </row>
    <row r="54" spans="1:7" x14ac:dyDescent="0.25">
      <c r="A54" s="9" t="str">
        <f>Plantilla!B53</f>
        <v>ZONA SANT MIQUEL-RUSTICAL</v>
      </c>
      <c r="B54" s="14">
        <f>Plantilla!E53</f>
        <v>46077</v>
      </c>
      <c r="C54" s="10" t="str">
        <f>Plantilla!D53</f>
        <v>Duresa</v>
      </c>
      <c r="D54" s="10" t="str">
        <f>Plantilla!F53</f>
        <v>722.8</v>
      </c>
      <c r="E54" s="10" t="str">
        <f>Plantilla!G53</f>
        <v>mg/L CaCo3</v>
      </c>
      <c r="G54" s="10">
        <f>Plantilla!I53</f>
        <v>500</v>
      </c>
    </row>
    <row r="55" spans="1:7" x14ac:dyDescent="0.25">
      <c r="A55" s="9" t="str">
        <f>Plantilla!B54</f>
        <v>ZONA SANT MIQUEL-RUSTICAL</v>
      </c>
      <c r="B55" s="14">
        <f>Plantilla!E54</f>
        <v>46077</v>
      </c>
      <c r="C55" s="10" t="str">
        <f>Plantilla!D54</f>
        <v>Clorurs</v>
      </c>
      <c r="D55" s="10" t="str">
        <f>Plantilla!F54</f>
        <v>581.29</v>
      </c>
      <c r="E55" s="10" t="str">
        <f>Plantilla!G54</f>
        <v>mg/L CaCo3</v>
      </c>
      <c r="G55" s="10">
        <f>Plantilla!I54</f>
        <v>250</v>
      </c>
    </row>
    <row r="56" spans="1:7" x14ac:dyDescent="0.25">
      <c r="A56" s="9" t="str">
        <f>Plantilla!B55</f>
        <v>ZONA SANT MIQUEL-RUSTICAL</v>
      </c>
      <c r="B56" s="14">
        <f>Plantilla!E55</f>
        <v>46052.416666666664</v>
      </c>
      <c r="C56" s="10" t="str">
        <f>Plantilla!D55</f>
        <v>Nitrats</v>
      </c>
      <c r="D56" s="10" t="str">
        <f>Plantilla!F55</f>
        <v>14.1</v>
      </c>
      <c r="E56" s="10" t="str">
        <f>Plantilla!G55</f>
        <v>mg/L CaCo3</v>
      </c>
      <c r="G56" s="10">
        <f>Plantilla!I55</f>
        <v>50</v>
      </c>
    </row>
    <row r="57" spans="1:7" x14ac:dyDescent="0.25">
      <c r="A57" s="9" t="str">
        <f>Plantilla!B56</f>
        <v>ZONA MASOS-GUARDAMAR-RIBERA</v>
      </c>
      <c r="B57" s="14">
        <f>Plantilla!E56</f>
        <v>46106.322916666664</v>
      </c>
      <c r="C57" s="10" t="str">
        <f>Plantilla!D56</f>
        <v>Microbiologia</v>
      </c>
      <c r="D57" s="10" t="str">
        <f>Plantilla!F56</f>
        <v>Correcte</v>
      </c>
      <c r="E57" s="10" t="str">
        <f>Plantilla!G56</f>
        <v>mg/L CaCo3</v>
      </c>
    </row>
    <row r="58" spans="1:7" x14ac:dyDescent="0.25">
      <c r="A58" s="9" t="str">
        <f>Plantilla!B57</f>
        <v>ZONA MASOS-GUARDAMAR-RIBERA</v>
      </c>
      <c r="B58" s="14">
        <f>Plantilla!E57</f>
        <v>46106.322916666664</v>
      </c>
      <c r="C58" s="10" t="str">
        <f>Plantilla!D57</f>
        <v>Organolèptic</v>
      </c>
      <c r="D58" s="10" t="str">
        <f>Plantilla!F57</f>
        <v>Correcte</v>
      </c>
      <c r="E58" s="10" t="str">
        <f>Plantilla!G57</f>
        <v>mg/L CaCo3</v>
      </c>
    </row>
    <row r="59" spans="1:7" x14ac:dyDescent="0.25">
      <c r="A59" s="9" t="str">
        <f>Plantilla!B58</f>
        <v>ZONA MASOS-GUARDAMAR-RIBERA</v>
      </c>
      <c r="B59" s="14">
        <f>Plantilla!E58</f>
        <v>46106.322916666664</v>
      </c>
      <c r="C59" s="10" t="str">
        <f>Plantilla!D58</f>
        <v>pH</v>
      </c>
      <c r="D59" s="10" t="str">
        <f>Plantilla!F58</f>
        <v>7.7</v>
      </c>
      <c r="E59" s="10" t="str">
        <f>Plantilla!G58</f>
        <v>mg/L CaCo3</v>
      </c>
      <c r="F59" s="10">
        <f>Plantilla!H58</f>
        <v>6.9</v>
      </c>
      <c r="G59" s="10">
        <f>Plantilla!I58</f>
        <v>9.5</v>
      </c>
    </row>
    <row r="60" spans="1:7" x14ac:dyDescent="0.25">
      <c r="A60" s="9" t="str">
        <f>Plantilla!B59</f>
        <v>ZONA MASOS-GUARDAMAR-RIBERA</v>
      </c>
      <c r="B60" s="14">
        <f>Plantilla!E59</f>
        <v>46106.322916666664</v>
      </c>
      <c r="C60" s="10" t="str">
        <f>Plantilla!D59</f>
        <v>Conductivitat</v>
      </c>
      <c r="D60" s="10">
        <f>Plantilla!F59</f>
        <v>770</v>
      </c>
      <c r="E60" s="10" t="str">
        <f>Plantilla!G59</f>
        <v>mg/L CaCo3</v>
      </c>
      <c r="G60" s="10">
        <f>Plantilla!I59</f>
        <v>2500</v>
      </c>
    </row>
    <row r="61" spans="1:7" x14ac:dyDescent="0.25">
      <c r="A61" s="9" t="str">
        <f>Plantilla!B60</f>
        <v>ZONA MASOS-GUARDAMAR-RIBERA</v>
      </c>
      <c r="B61" s="14">
        <f>Plantilla!E60</f>
        <v>46106.322916666664</v>
      </c>
      <c r="C61" s="10" t="str">
        <f>Plantilla!D60</f>
        <v>Terbolesa</v>
      </c>
      <c r="D61" s="10" t="str">
        <f>Plantilla!F60</f>
        <v>&lt; 0.20</v>
      </c>
      <c r="E61" s="10" t="str">
        <f>Plantilla!G60</f>
        <v>mg/L CaCo3</v>
      </c>
      <c r="G61" s="10">
        <f>Plantilla!I60</f>
        <v>5</v>
      </c>
    </row>
    <row r="62" spans="1:7" x14ac:dyDescent="0.25">
      <c r="A62" s="9" t="str">
        <f>Plantilla!B61</f>
        <v>ZONA MASOS-GUARDAMAR-RIBERA</v>
      </c>
      <c r="B62" s="14">
        <f>Plantilla!E61</f>
        <v>46106.322916666664</v>
      </c>
      <c r="C62" s="10" t="str">
        <f>Plantilla!D61</f>
        <v>Clor lliure</v>
      </c>
      <c r="D62" s="10" t="str">
        <f>Plantilla!F61</f>
        <v>0.50</v>
      </c>
      <c r="E62" s="10" t="str">
        <f>Plantilla!G61</f>
        <v>mg/L CaCo3</v>
      </c>
      <c r="G62" s="10">
        <f>Plantilla!I61</f>
        <v>1</v>
      </c>
    </row>
    <row r="63" spans="1:7" x14ac:dyDescent="0.25">
      <c r="A63" s="9" t="str">
        <f>Plantilla!B62</f>
        <v>ZONA MASOS-GUARDAMAR-RIBERA</v>
      </c>
      <c r="B63" s="14">
        <f>Plantilla!E62</f>
        <v>45931</v>
      </c>
      <c r="C63" s="10" t="str">
        <f>Plantilla!D62</f>
        <v>Duresa</v>
      </c>
      <c r="D63" s="10" t="str">
        <f>Plantilla!F62</f>
        <v>399.5</v>
      </c>
      <c r="E63" s="10" t="str">
        <f>Plantilla!G62</f>
        <v>mg/L CaCo3</v>
      </c>
      <c r="G63" s="10">
        <f>Plantilla!I62</f>
        <v>500</v>
      </c>
    </row>
    <row r="64" spans="1:7" x14ac:dyDescent="0.25">
      <c r="A64" s="9" t="str">
        <f>Plantilla!B63</f>
        <v>ZONA MASOS-GUARDAMAR-RIBERA</v>
      </c>
      <c r="B64" s="14">
        <f>Plantilla!E63</f>
        <v>46099</v>
      </c>
      <c r="C64" s="10" t="str">
        <f>Plantilla!D63</f>
        <v>Clorurs</v>
      </c>
      <c r="D64" s="10" t="str">
        <f>Plantilla!F63</f>
        <v>74.5</v>
      </c>
      <c r="E64" s="10" t="str">
        <f>Plantilla!G63</f>
        <v>mg/L CaCo3</v>
      </c>
      <c r="G64" s="10">
        <f>Plantilla!I63</f>
        <v>250</v>
      </c>
    </row>
    <row r="65" spans="1:7" x14ac:dyDescent="0.25">
      <c r="A65" s="9" t="str">
        <f>Plantilla!B64</f>
        <v>ZONA MASOS-GUARDAMAR-RIBERA</v>
      </c>
      <c r="B65" s="14">
        <f>Plantilla!E64</f>
        <v>46099</v>
      </c>
      <c r="C65" s="10" t="str">
        <f>Plantilla!D64</f>
        <v>Nitrats</v>
      </c>
      <c r="D65" s="10" t="str">
        <f>Plantilla!F64</f>
        <v>18.2</v>
      </c>
      <c r="E65" s="10" t="str">
        <f>Plantilla!G64</f>
        <v>mg/L CaCo3</v>
      </c>
      <c r="G65" s="10">
        <f>Plantilla!I64</f>
        <v>50</v>
      </c>
    </row>
    <row r="66" spans="1:7" x14ac:dyDescent="0.25">
      <c r="A66" s="9" t="str">
        <f>Plantilla!B65</f>
        <v>ZONA PINS DE MIRAMAR</v>
      </c>
      <c r="B66" s="14">
        <f>Plantilla!E65</f>
        <v>46052.430555555555</v>
      </c>
      <c r="C66" s="10" t="str">
        <f>Plantilla!D65</f>
        <v>Microbiologia</v>
      </c>
      <c r="D66" s="10" t="str">
        <f>Plantilla!F65</f>
        <v>Correcte</v>
      </c>
      <c r="E66" s="10" t="str">
        <f>Plantilla!G65</f>
        <v>mg/L CaCo3</v>
      </c>
    </row>
    <row r="67" spans="1:7" x14ac:dyDescent="0.25">
      <c r="A67" s="9" t="str">
        <f>Plantilla!B66</f>
        <v>ZONA PINS DE MIRAMAR</v>
      </c>
      <c r="B67" s="14">
        <f>Plantilla!E66</f>
        <v>46052.430555555555</v>
      </c>
      <c r="C67" s="10" t="str">
        <f>Plantilla!D66</f>
        <v>Organolèptic</v>
      </c>
      <c r="D67" s="10" t="str">
        <f>Plantilla!F66</f>
        <v>Correcte</v>
      </c>
      <c r="E67" s="10" t="str">
        <f>Plantilla!G66</f>
        <v>mg/L CaCo3</v>
      </c>
    </row>
    <row r="68" spans="1:7" x14ac:dyDescent="0.25">
      <c r="A68" s="9" t="str">
        <f>Plantilla!B67</f>
        <v>ZONA PINS DE MIRAMAR</v>
      </c>
      <c r="B68" s="14">
        <f>Plantilla!E67</f>
        <v>46052.430555555555</v>
      </c>
      <c r="C68" s="10" t="str">
        <f>Plantilla!D67</f>
        <v>pH</v>
      </c>
      <c r="D68" s="10" t="str">
        <f>Plantilla!F67</f>
        <v>7.2</v>
      </c>
      <c r="E68" s="10" t="str">
        <f>Plantilla!G67</f>
        <v>mg/L CaCo3</v>
      </c>
      <c r="F68" s="10">
        <f>Plantilla!H67</f>
        <v>6.9</v>
      </c>
      <c r="G68" s="10">
        <f>Plantilla!I67</f>
        <v>9.5</v>
      </c>
    </row>
    <row r="69" spans="1:7" x14ac:dyDescent="0.25">
      <c r="A69" s="9" t="str">
        <f>Plantilla!B68</f>
        <v>ZONA PINS DE MIRAMAR</v>
      </c>
      <c r="B69" s="14">
        <f>Plantilla!E68</f>
        <v>46052.430555555555</v>
      </c>
      <c r="C69" s="10" t="str">
        <f>Plantilla!D68</f>
        <v>Conductivitat</v>
      </c>
      <c r="D69" s="10">
        <f>Plantilla!F68</f>
        <v>1847</v>
      </c>
      <c r="E69" s="10" t="str">
        <f>Plantilla!G68</f>
        <v>mg/L CaCo3</v>
      </c>
      <c r="G69" s="10">
        <f>Plantilla!I68</f>
        <v>2500</v>
      </c>
    </row>
    <row r="70" spans="1:7" x14ac:dyDescent="0.25">
      <c r="A70" s="9" t="str">
        <f>Plantilla!B69</f>
        <v>ZONA PINS DE MIRAMAR</v>
      </c>
      <c r="B70" s="14">
        <f>Plantilla!E69</f>
        <v>46052.430555555555</v>
      </c>
      <c r="C70" s="10" t="str">
        <f>Plantilla!D69</f>
        <v>Terbolesa</v>
      </c>
      <c r="D70" s="10" t="str">
        <f>Plantilla!F69</f>
        <v>&lt; 0.20</v>
      </c>
      <c r="E70" s="10" t="str">
        <f>Plantilla!G69</f>
        <v>mg/L CaCo3</v>
      </c>
      <c r="G70" s="10">
        <f>Plantilla!I69</f>
        <v>5</v>
      </c>
    </row>
    <row r="71" spans="1:7" x14ac:dyDescent="0.25">
      <c r="A71" s="9" t="str">
        <f>Plantilla!B70</f>
        <v>ZONA PINS DE MIRAMAR</v>
      </c>
      <c r="B71" s="14">
        <f>Plantilla!E70</f>
        <v>46052.430555555555</v>
      </c>
      <c r="C71" s="10" t="str">
        <f>Plantilla!D70</f>
        <v>Clor lliure</v>
      </c>
      <c r="D71" s="10" t="str">
        <f>Plantilla!F70</f>
        <v>0.40</v>
      </c>
      <c r="E71" s="10" t="str">
        <f>Plantilla!G70</f>
        <v>mg/L CaCo3</v>
      </c>
      <c r="G71" s="10">
        <f>Plantilla!I70</f>
        <v>1</v>
      </c>
    </row>
    <row r="72" spans="1:7" x14ac:dyDescent="0.25">
      <c r="A72" s="9" t="str">
        <f>Plantilla!B71</f>
        <v>ZONA PINS DE MIRAMAR</v>
      </c>
      <c r="B72" s="14">
        <f>Plantilla!E71</f>
        <v>45931</v>
      </c>
      <c r="C72" s="10" t="str">
        <f>Plantilla!D71</f>
        <v>Duresa</v>
      </c>
      <c r="D72" s="10" t="str">
        <f>Plantilla!F71</f>
        <v>399.5</v>
      </c>
      <c r="E72" s="10" t="str">
        <f>Plantilla!G71</f>
        <v>mg/L CaCo3</v>
      </c>
      <c r="G72" s="10">
        <f>Plantilla!I71</f>
        <v>500</v>
      </c>
    </row>
    <row r="73" spans="1:7" x14ac:dyDescent="0.25">
      <c r="A73" s="9" t="str">
        <f>Plantilla!B72</f>
        <v>ZONA PINS DE MIRAMAR</v>
      </c>
      <c r="B73" s="14">
        <f>Plantilla!E72</f>
        <v>46099</v>
      </c>
      <c r="C73" s="10" t="str">
        <f>Plantilla!D72</f>
        <v>Clorurs</v>
      </c>
      <c r="D73" s="10" t="str">
        <f>Plantilla!F72</f>
        <v>522.8</v>
      </c>
      <c r="E73" s="10" t="str">
        <f>Plantilla!G72</f>
        <v>mg/L CaCo3</v>
      </c>
      <c r="G73" s="10">
        <f>Plantilla!I72</f>
        <v>250</v>
      </c>
    </row>
    <row r="74" spans="1:7" x14ac:dyDescent="0.25">
      <c r="A74" s="9" t="str">
        <f>Plantilla!B73</f>
        <v>ZONA PINS DE MIRAMAR</v>
      </c>
      <c r="B74" s="14">
        <f>Plantilla!E73</f>
        <v>46099</v>
      </c>
      <c r="C74" s="10" t="str">
        <f>Plantilla!D73</f>
        <v>Nitrats</v>
      </c>
      <c r="D74" s="10" t="str">
        <f>Plantilla!F73</f>
        <v>17.6</v>
      </c>
      <c r="E74" s="10" t="str">
        <f>Plantilla!G73</f>
        <v>mg/L CaCo3</v>
      </c>
      <c r="G74" s="10">
        <f>Plantilla!I73</f>
        <v>50</v>
      </c>
    </row>
    <row r="75" spans="1:7" x14ac:dyDescent="0.25">
      <c r="A75" s="9" t="str">
        <f>Plantilla!B74</f>
        <v>ZONA SOLEMIO</v>
      </c>
      <c r="B75" s="14">
        <f>Plantilla!E74</f>
        <v>46106.354166666664</v>
      </c>
      <c r="C75" s="10" t="str">
        <f>Plantilla!D74</f>
        <v>Microbiologia</v>
      </c>
      <c r="D75" s="10" t="str">
        <f>Plantilla!F74</f>
        <v>Correcte</v>
      </c>
      <c r="E75" s="10" t="str">
        <f>Plantilla!G74</f>
        <v>mg/L CaCo3</v>
      </c>
    </row>
    <row r="76" spans="1:7" x14ac:dyDescent="0.25">
      <c r="A76" s="9" t="str">
        <f>Plantilla!B75</f>
        <v>ZONA SOLEMIO</v>
      </c>
      <c r="B76" s="14">
        <f>Plantilla!E75</f>
        <v>46106.354166666664</v>
      </c>
      <c r="C76" s="10" t="str">
        <f>Plantilla!D75</f>
        <v>Organolèptic</v>
      </c>
      <c r="D76" s="10" t="str">
        <f>Plantilla!F75</f>
        <v>Correcte</v>
      </c>
      <c r="E76" s="10" t="str">
        <f>Plantilla!G75</f>
        <v>mg/L CaCo3</v>
      </c>
    </row>
    <row r="77" spans="1:7" x14ac:dyDescent="0.25">
      <c r="A77" s="9" t="str">
        <f>Plantilla!B76</f>
        <v>ZONA SOLEMIO</v>
      </c>
      <c r="B77" s="14">
        <f>Plantilla!E76</f>
        <v>46106.354166666664</v>
      </c>
      <c r="C77" s="10" t="str">
        <f>Plantilla!D76</f>
        <v>pH</v>
      </c>
      <c r="D77" s="10" t="str">
        <f>Plantilla!F76</f>
        <v>7.4</v>
      </c>
      <c r="E77" s="10" t="str">
        <f>Plantilla!G76</f>
        <v>mg/L CaCo3</v>
      </c>
      <c r="F77" s="10">
        <f>Plantilla!H76</f>
        <v>6.9</v>
      </c>
      <c r="G77" s="10">
        <f>Plantilla!I76</f>
        <v>9.5</v>
      </c>
    </row>
    <row r="78" spans="1:7" x14ac:dyDescent="0.25">
      <c r="A78" s="9" t="str">
        <f>Plantilla!B77</f>
        <v>ZONA SOLEMIO</v>
      </c>
      <c r="B78" s="14">
        <f>Plantilla!E77</f>
        <v>46106.354166666664</v>
      </c>
      <c r="C78" s="10" t="str">
        <f>Plantilla!D77</f>
        <v>Conductivitat</v>
      </c>
      <c r="D78" s="10">
        <f>Plantilla!F77</f>
        <v>1847</v>
      </c>
      <c r="E78" s="10" t="str">
        <f>Plantilla!G77</f>
        <v>mg/L CaCo3</v>
      </c>
      <c r="G78" s="10">
        <f>Plantilla!I77</f>
        <v>2500</v>
      </c>
    </row>
    <row r="79" spans="1:7" x14ac:dyDescent="0.25">
      <c r="A79" s="9" t="str">
        <f>Plantilla!B78</f>
        <v>ZONA SOLEMIO</v>
      </c>
      <c r="B79" s="14">
        <f>Plantilla!E78</f>
        <v>46106.354166666664</v>
      </c>
      <c r="C79" s="10" t="str">
        <f>Plantilla!D78</f>
        <v>Terbolesa</v>
      </c>
      <c r="D79" s="10" t="str">
        <f>Plantilla!F78</f>
        <v>&lt; 0.20</v>
      </c>
      <c r="E79" s="10" t="str">
        <f>Plantilla!G78</f>
        <v>mg/L CaCo3</v>
      </c>
      <c r="G79" s="10">
        <f>Plantilla!I78</f>
        <v>5</v>
      </c>
    </row>
    <row r="80" spans="1:7" x14ac:dyDescent="0.25">
      <c r="A80" s="9" t="str">
        <f>Plantilla!B79</f>
        <v>ZONA SOLEMIO</v>
      </c>
      <c r="B80" s="14">
        <f>Plantilla!E79</f>
        <v>46106.354166666664</v>
      </c>
      <c r="C80" s="10" t="str">
        <f>Plantilla!D79</f>
        <v>Clor lliure</v>
      </c>
      <c r="D80" s="10" t="str">
        <f>Plantilla!F79</f>
        <v>0.48</v>
      </c>
      <c r="E80" s="10" t="str">
        <f>Plantilla!G79</f>
        <v>mg/L CaCo3</v>
      </c>
      <c r="G80" s="10">
        <f>Plantilla!I79</f>
        <v>1</v>
      </c>
    </row>
    <row r="81" spans="1:7" x14ac:dyDescent="0.25">
      <c r="A81" s="9" t="str">
        <f>Plantilla!B80</f>
        <v>ZONA SOLEMIO</v>
      </c>
      <c r="B81" s="14">
        <f>Plantilla!E80</f>
        <v>46076.354166666664</v>
      </c>
      <c r="C81" s="10" t="str">
        <f>Plantilla!D80</f>
        <v>Duresa</v>
      </c>
      <c r="D81" s="10" t="str">
        <f>Plantilla!F80</f>
        <v>601.8</v>
      </c>
      <c r="E81" s="10" t="str">
        <f>Plantilla!G80</f>
        <v>mg/L CaCo3</v>
      </c>
      <c r="G81" s="10">
        <f>Plantilla!I80</f>
        <v>500</v>
      </c>
    </row>
    <row r="82" spans="1:7" x14ac:dyDescent="0.25">
      <c r="A82" s="9" t="str">
        <f>Plantilla!B81</f>
        <v>ZONA SOLEMIO</v>
      </c>
      <c r="B82" s="14">
        <f>Plantilla!E81</f>
        <v>46076.354166666664</v>
      </c>
      <c r="C82" s="10" t="str">
        <f>Plantilla!D81</f>
        <v>Clorurs</v>
      </c>
      <c r="D82" s="10" t="str">
        <f>Plantilla!F81</f>
        <v>471.33</v>
      </c>
      <c r="E82" s="10" t="str">
        <f>Plantilla!G81</f>
        <v>mg/L CaCo3</v>
      </c>
      <c r="G82" s="10">
        <f>Plantilla!I81</f>
        <v>250</v>
      </c>
    </row>
    <row r="83" spans="1:7" x14ac:dyDescent="0.25">
      <c r="A83" s="9" t="str">
        <f>Plantilla!B82</f>
        <v>ZONA SOLEMIO</v>
      </c>
      <c r="B83" s="14">
        <f>Plantilla!E82</f>
        <v>46076.354166666664</v>
      </c>
      <c r="C83" s="10" t="str">
        <f>Plantilla!D82</f>
        <v>Nitrats</v>
      </c>
      <c r="D83" s="10" t="str">
        <f>Plantilla!F82</f>
        <v>26.95</v>
      </c>
      <c r="E83" s="10" t="str">
        <f>Plantilla!G82</f>
        <v>mg/L CaCo3</v>
      </c>
      <c r="G83" s="10">
        <f>Plantilla!I82</f>
        <v>50</v>
      </c>
    </row>
    <row r="84" spans="1:7" x14ac:dyDescent="0.25">
      <c r="A84" s="9" t="str">
        <f>Plantilla!B83</f>
        <v>ZONA MIAMI PLATJA</v>
      </c>
      <c r="B84" s="14">
        <f>Plantilla!E83</f>
        <v>46106.375</v>
      </c>
      <c r="C84" s="10" t="str">
        <f>Plantilla!D83</f>
        <v>Microbiologia</v>
      </c>
      <c r="D84" s="10" t="str">
        <f>Plantilla!F83</f>
        <v>Correcte</v>
      </c>
      <c r="E84" s="10" t="str">
        <f>Plantilla!G83</f>
        <v>mg/L CaCo3</v>
      </c>
    </row>
    <row r="85" spans="1:7" x14ac:dyDescent="0.25">
      <c r="A85" s="9" t="str">
        <f>Plantilla!B84</f>
        <v>ZONA MIAMI PLATJA</v>
      </c>
      <c r="B85" s="14">
        <f>Plantilla!E84</f>
        <v>46106.375</v>
      </c>
      <c r="C85" s="10" t="str">
        <f>Plantilla!D84</f>
        <v>Organolèptic</v>
      </c>
      <c r="D85" s="10" t="str">
        <f>Plantilla!F84</f>
        <v>Correcte</v>
      </c>
      <c r="E85" s="10" t="str">
        <f>Plantilla!G84</f>
        <v>mg/L CaCo3</v>
      </c>
    </row>
    <row r="86" spans="1:7" x14ac:dyDescent="0.25">
      <c r="A86" s="9" t="str">
        <f>Plantilla!B85</f>
        <v>ZONA MIAMI PLATJA</v>
      </c>
      <c r="B86" s="14">
        <f>Plantilla!E85</f>
        <v>46106.375</v>
      </c>
      <c r="C86" s="10" t="str">
        <f>Plantilla!D85</f>
        <v>pH</v>
      </c>
      <c r="D86" s="10" t="str">
        <f>Plantilla!F85</f>
        <v>7.7</v>
      </c>
      <c r="E86" s="10" t="str">
        <f>Plantilla!G85</f>
        <v>mg/L CaCo3</v>
      </c>
      <c r="F86" s="10">
        <f>Plantilla!H85</f>
        <v>6.9</v>
      </c>
      <c r="G86" s="10">
        <f>Plantilla!I85</f>
        <v>9.5</v>
      </c>
    </row>
    <row r="87" spans="1:7" x14ac:dyDescent="0.25">
      <c r="A87" s="9" t="str">
        <f>Plantilla!B86</f>
        <v>ZONA MIAMI PLATJA</v>
      </c>
      <c r="B87" s="14">
        <f>Plantilla!E86</f>
        <v>46106.375</v>
      </c>
      <c r="C87" s="10" t="str">
        <f>Plantilla!D86</f>
        <v>Conductivitat</v>
      </c>
      <c r="D87" s="10">
        <f>Plantilla!F86</f>
        <v>343</v>
      </c>
      <c r="E87" s="10" t="str">
        <f>Plantilla!G86</f>
        <v>mg/L CaCo3</v>
      </c>
      <c r="G87" s="10">
        <f>Plantilla!I86</f>
        <v>2500</v>
      </c>
    </row>
    <row r="88" spans="1:7" x14ac:dyDescent="0.25">
      <c r="A88" s="9" t="str">
        <f>Plantilla!B87</f>
        <v>ZONA MIAMI PLATJA</v>
      </c>
      <c r="B88" s="14">
        <f>Plantilla!E87</f>
        <v>46106.375</v>
      </c>
      <c r="C88" s="10" t="str">
        <f>Plantilla!D87</f>
        <v>Terbolesa</v>
      </c>
      <c r="D88" s="10" t="str">
        <f>Plantilla!F87</f>
        <v>&lt; 0.20</v>
      </c>
      <c r="E88" s="10" t="str">
        <f>Plantilla!G87</f>
        <v>mg/L CaCo3</v>
      </c>
      <c r="G88" s="10">
        <f>Plantilla!I87</f>
        <v>5</v>
      </c>
    </row>
    <row r="89" spans="1:7" x14ac:dyDescent="0.25">
      <c r="A89" s="9" t="str">
        <f>Plantilla!B88</f>
        <v>ZONA MIAMI PLATJA</v>
      </c>
      <c r="B89" s="14">
        <f>Plantilla!E88</f>
        <v>46106.375</v>
      </c>
      <c r="C89" s="10" t="str">
        <f>Plantilla!D88</f>
        <v>Clor lliure</v>
      </c>
      <c r="D89" s="10" t="str">
        <f>Plantilla!F88</f>
        <v>0.42</v>
      </c>
      <c r="E89" s="10" t="str">
        <f>Plantilla!G88</f>
        <v>mg/L CaCo3</v>
      </c>
      <c r="G89" s="10">
        <f>Plantilla!I88</f>
        <v>1</v>
      </c>
    </row>
    <row r="90" spans="1:7" x14ac:dyDescent="0.25">
      <c r="A90" s="9" t="str">
        <f>Plantilla!B89</f>
        <v>ZONA MIAMI PLATJA</v>
      </c>
      <c r="B90" s="14">
        <f>Plantilla!E89</f>
        <v>46076.444444444445</v>
      </c>
      <c r="C90" s="10" t="str">
        <f>Plantilla!D89</f>
        <v>Duresa</v>
      </c>
      <c r="D90" s="10" t="str">
        <f>Plantilla!F89</f>
        <v>674.9</v>
      </c>
      <c r="E90" s="10" t="str">
        <f>Plantilla!G89</f>
        <v>mg/L CaCo3</v>
      </c>
      <c r="G90" s="10">
        <f>Plantilla!I89</f>
        <v>500</v>
      </c>
    </row>
    <row r="91" spans="1:7" x14ac:dyDescent="0.25">
      <c r="A91" s="9" t="str">
        <f>Plantilla!B90</f>
        <v>ZONA MIAMI PLATJA</v>
      </c>
      <c r="B91" s="14">
        <f>Plantilla!E90</f>
        <v>46076.444444444445</v>
      </c>
      <c r="C91" s="10" t="str">
        <f>Plantilla!D90</f>
        <v>Clorurs</v>
      </c>
      <c r="D91" s="10" t="str">
        <f>Plantilla!F90</f>
        <v>646.06</v>
      </c>
      <c r="E91" s="10" t="str">
        <f>Plantilla!G90</f>
        <v>mg/L CaCo3</v>
      </c>
      <c r="G91" s="10">
        <f>Plantilla!I90</f>
        <v>250</v>
      </c>
    </row>
    <row r="92" spans="1:7" x14ac:dyDescent="0.25">
      <c r="A92" s="9" t="str">
        <f>Plantilla!B91</f>
        <v>ZONA MIAMI PLATJA</v>
      </c>
      <c r="B92" s="14">
        <f>Plantilla!E91</f>
        <v>46076.444444444445</v>
      </c>
      <c r="C92" s="10" t="str">
        <f>Plantilla!D91</f>
        <v>Nitrats</v>
      </c>
      <c r="D92" s="10" t="str">
        <f>Plantilla!F91</f>
        <v>21.18</v>
      </c>
      <c r="E92" s="10" t="str">
        <f>Plantilla!G91</f>
        <v>mg/L CaCo3</v>
      </c>
      <c r="G92" s="10">
        <f>Plantilla!I91</f>
        <v>50</v>
      </c>
    </row>
    <row r="93" spans="1:7" x14ac:dyDescent="0.25">
      <c r="A93" s="9" t="str">
        <f>Plantilla!B92</f>
        <v>ZONA COSTA ZÈFIR</v>
      </c>
      <c r="B93" s="14">
        <f>Plantilla!E92</f>
        <v>46071.350694444445</v>
      </c>
      <c r="C93" s="10" t="str">
        <f>Plantilla!D92</f>
        <v>Microbiologia</v>
      </c>
      <c r="D93" s="10" t="str">
        <f>Plantilla!F92</f>
        <v>Correcte</v>
      </c>
      <c r="E93" s="10" t="str">
        <f>Plantilla!G92</f>
        <v>mg/L CaCo3</v>
      </c>
    </row>
    <row r="94" spans="1:7" x14ac:dyDescent="0.25">
      <c r="A94" s="9" t="str">
        <f>Plantilla!B93</f>
        <v>ZONA COSTA ZÈFIR</v>
      </c>
      <c r="B94" s="14">
        <f>Plantilla!E93</f>
        <v>46071.350694444445</v>
      </c>
      <c r="C94" s="10" t="str">
        <f>Plantilla!D93</f>
        <v>Organolèptic</v>
      </c>
      <c r="D94" s="10" t="str">
        <f>Plantilla!F93</f>
        <v>Correcte</v>
      </c>
      <c r="E94" s="10" t="str">
        <f>Plantilla!G93</f>
        <v>mg/L CaCo3</v>
      </c>
    </row>
    <row r="95" spans="1:7" x14ac:dyDescent="0.25">
      <c r="A95" s="9" t="str">
        <f>Plantilla!B94</f>
        <v>ZONA COSTA ZÈFIR</v>
      </c>
      <c r="B95" s="14">
        <f>Plantilla!E94</f>
        <v>46071.350694444445</v>
      </c>
      <c r="C95" s="10" t="str">
        <f>Plantilla!D94</f>
        <v>pH</v>
      </c>
      <c r="D95" s="10" t="str">
        <f>Plantilla!F94</f>
        <v>7.7</v>
      </c>
      <c r="E95" s="10" t="str">
        <f>Plantilla!G94</f>
        <v>mg/L CaCo3</v>
      </c>
      <c r="F95" s="10">
        <f>Plantilla!H94</f>
        <v>6.9</v>
      </c>
      <c r="G95" s="10">
        <f>Plantilla!I94</f>
        <v>9.5</v>
      </c>
    </row>
    <row r="96" spans="1:7" x14ac:dyDescent="0.25">
      <c r="A96" s="9" t="str">
        <f>Plantilla!B95</f>
        <v>ZONA COSTA ZÈFIR</v>
      </c>
      <c r="B96" s="14">
        <f>Plantilla!E95</f>
        <v>46071.350694444445</v>
      </c>
      <c r="C96" s="10" t="str">
        <f>Plantilla!D95</f>
        <v>Conductivitat</v>
      </c>
      <c r="D96" s="10">
        <f>Plantilla!F95</f>
        <v>1696</v>
      </c>
      <c r="E96" s="10" t="str">
        <f>Plantilla!G95</f>
        <v>mg/L CaCo3</v>
      </c>
      <c r="G96" s="10">
        <f>Plantilla!I95</f>
        <v>2500</v>
      </c>
    </row>
    <row r="97" spans="1:7" x14ac:dyDescent="0.25">
      <c r="A97" s="9" t="str">
        <f>Plantilla!B96</f>
        <v>ZONA COSTA ZÈFIR</v>
      </c>
      <c r="B97" s="14">
        <f>Plantilla!E96</f>
        <v>46071.350694444445</v>
      </c>
      <c r="C97" s="10" t="str">
        <f>Plantilla!D96</f>
        <v>Terbolesa</v>
      </c>
      <c r="D97" s="10" t="str">
        <f>Plantilla!F96</f>
        <v>&lt; 0.20</v>
      </c>
      <c r="E97" s="10" t="str">
        <f>Plantilla!G96</f>
        <v>mg/L CaCo3</v>
      </c>
      <c r="G97" s="10">
        <f>Plantilla!I96</f>
        <v>5</v>
      </c>
    </row>
    <row r="98" spans="1:7" x14ac:dyDescent="0.25">
      <c r="A98" s="9" t="str">
        <f>Plantilla!B97</f>
        <v>ZONA COSTA ZÈFIR</v>
      </c>
      <c r="B98" s="14">
        <f>Plantilla!E97</f>
        <v>46071.350694444445</v>
      </c>
      <c r="C98" s="10" t="str">
        <f>Plantilla!D97</f>
        <v>Clor lliure</v>
      </c>
      <c r="D98" s="10" t="str">
        <f>Plantilla!F97</f>
        <v>0.45</v>
      </c>
      <c r="E98" s="10" t="str">
        <f>Plantilla!G97</f>
        <v>mg/L CaCo3</v>
      </c>
      <c r="G98" s="10">
        <f>Plantilla!I97</f>
        <v>1</v>
      </c>
    </row>
    <row r="99" spans="1:7" x14ac:dyDescent="0.25">
      <c r="A99" s="9" t="str">
        <f>Plantilla!B98</f>
        <v>ZONA COSTA ZÈFIR</v>
      </c>
      <c r="B99" s="14">
        <f>Plantilla!E98</f>
        <v>45929</v>
      </c>
      <c r="C99" s="10" t="str">
        <f>Plantilla!D98</f>
        <v>Duresa</v>
      </c>
      <c r="D99" s="10" t="str">
        <f>Plantilla!F98</f>
        <v>622.0</v>
      </c>
      <c r="E99" s="10" t="str">
        <f>Plantilla!G98</f>
        <v>mg/L CaCo3</v>
      </c>
      <c r="G99" s="10">
        <f>Plantilla!I98</f>
        <v>500</v>
      </c>
    </row>
    <row r="100" spans="1:7" x14ac:dyDescent="0.25">
      <c r="A100" s="9" t="str">
        <f>Plantilla!B99</f>
        <v>ZONA COSTA ZÈFIR</v>
      </c>
      <c r="B100" s="14">
        <f>Plantilla!E99</f>
        <v>46099</v>
      </c>
      <c r="C100" s="10" t="str">
        <f>Plantilla!D99</f>
        <v>Clorurs</v>
      </c>
      <c r="D100" s="10" t="str">
        <f>Plantilla!F99</f>
        <v>390.3</v>
      </c>
      <c r="E100" s="10" t="str">
        <f>Plantilla!G99</f>
        <v>mg/L CaCo3</v>
      </c>
      <c r="G100" s="10">
        <f>Plantilla!I99</f>
        <v>250</v>
      </c>
    </row>
    <row r="101" spans="1:7" x14ac:dyDescent="0.25">
      <c r="A101" s="9" t="str">
        <f>Plantilla!B100</f>
        <v>ZONA COSTA ZÈFIR</v>
      </c>
      <c r="B101" s="14">
        <f>Plantilla!E100</f>
        <v>46099</v>
      </c>
      <c r="C101" s="10" t="str">
        <f>Plantilla!D100</f>
        <v>Nitrats</v>
      </c>
      <c r="D101" s="10" t="str">
        <f>Plantilla!F100</f>
        <v>9.7</v>
      </c>
      <c r="E101" s="10" t="str">
        <f>Plantilla!G100</f>
        <v>mg/L CaCo3</v>
      </c>
      <c r="G101" s="10">
        <f>Plantilla!I100</f>
        <v>50</v>
      </c>
    </row>
    <row r="102" spans="1:7" x14ac:dyDescent="0.25">
      <c r="A102" s="9" t="str">
        <f>Plantilla!B101</f>
        <v>ZONA ROMA</v>
      </c>
      <c r="B102" s="14">
        <f>Plantilla!E101</f>
        <v>46106.42083333333</v>
      </c>
      <c r="C102" s="10" t="str">
        <f>Plantilla!D101</f>
        <v>Microbiologia</v>
      </c>
      <c r="D102" s="10" t="str">
        <f>Plantilla!F101</f>
        <v>Correcte</v>
      </c>
      <c r="E102" s="10" t="str">
        <f>Plantilla!G101</f>
        <v>mg/L CaCo3</v>
      </c>
    </row>
    <row r="103" spans="1:7" x14ac:dyDescent="0.25">
      <c r="A103" s="9" t="str">
        <f>Plantilla!B102</f>
        <v>ZONA ROMA</v>
      </c>
      <c r="B103" s="14">
        <f>Plantilla!E102</f>
        <v>46106.42083333333</v>
      </c>
      <c r="C103" s="10" t="str">
        <f>Plantilla!D102</f>
        <v>Organolèptic</v>
      </c>
      <c r="D103" s="10" t="str">
        <f>Plantilla!F102</f>
        <v>Correcte</v>
      </c>
      <c r="E103" s="10" t="str">
        <f>Plantilla!G102</f>
        <v>mg/L CaCo3</v>
      </c>
    </row>
    <row r="104" spans="1:7" x14ac:dyDescent="0.25">
      <c r="A104" s="9" t="str">
        <f>Plantilla!B103</f>
        <v>ZONA ROMA</v>
      </c>
      <c r="B104" s="14">
        <f>Plantilla!E103</f>
        <v>46106.42083333333</v>
      </c>
      <c r="C104" s="10" t="str">
        <f>Plantilla!D103</f>
        <v>pH</v>
      </c>
      <c r="D104" s="10" t="str">
        <f>Plantilla!F103</f>
        <v>7.6</v>
      </c>
      <c r="E104" s="10" t="str">
        <f>Plantilla!G103</f>
        <v>mg/L CaCo3</v>
      </c>
      <c r="F104" s="10">
        <f>Plantilla!H103</f>
        <v>6.9</v>
      </c>
      <c r="G104" s="10">
        <f>Plantilla!I103</f>
        <v>9.5</v>
      </c>
    </row>
    <row r="105" spans="1:7" x14ac:dyDescent="0.25">
      <c r="A105" s="9" t="str">
        <f>Plantilla!B104</f>
        <v>ZONA ROMA</v>
      </c>
      <c r="B105" s="14">
        <f>Plantilla!E104</f>
        <v>46106.42083333333</v>
      </c>
      <c r="C105" s="10" t="str">
        <f>Plantilla!D104</f>
        <v>Conductivitat</v>
      </c>
      <c r="D105" s="10">
        <f>Plantilla!F104</f>
        <v>779</v>
      </c>
      <c r="E105" s="10" t="str">
        <f>Plantilla!G104</f>
        <v>mg/L CaCo3</v>
      </c>
      <c r="G105" s="10">
        <f>Plantilla!I104</f>
        <v>2500</v>
      </c>
    </row>
    <row r="106" spans="1:7" x14ac:dyDescent="0.25">
      <c r="A106" s="9" t="str">
        <f>Plantilla!B105</f>
        <v>ZONA ROMA</v>
      </c>
      <c r="B106" s="14">
        <f>Plantilla!E105</f>
        <v>46106.42083333333</v>
      </c>
      <c r="C106" s="10" t="str">
        <f>Plantilla!D105</f>
        <v>Terbolesa</v>
      </c>
      <c r="D106" s="10" t="str">
        <f>Plantilla!F105</f>
        <v>&lt; 0.20</v>
      </c>
      <c r="E106" s="10" t="str">
        <f>Plantilla!G105</f>
        <v>mg/L CaCo3</v>
      </c>
      <c r="G106" s="10">
        <f>Plantilla!I105</f>
        <v>5</v>
      </c>
    </row>
    <row r="107" spans="1:7" x14ac:dyDescent="0.25">
      <c r="A107" s="9" t="str">
        <f>Plantilla!B106</f>
        <v>ZONA ROMA</v>
      </c>
      <c r="B107" s="14">
        <f>Plantilla!E106</f>
        <v>46106.42083333333</v>
      </c>
      <c r="C107" s="10" t="str">
        <f>Plantilla!D106</f>
        <v>Clor lliure</v>
      </c>
      <c r="D107" s="10" t="str">
        <f>Plantilla!F106</f>
        <v>0.37</v>
      </c>
      <c r="E107" s="10" t="str">
        <f>Plantilla!G106</f>
        <v>mg/L CaCo3</v>
      </c>
      <c r="G107" s="10">
        <f>Plantilla!I106</f>
        <v>1</v>
      </c>
    </row>
    <row r="108" spans="1:7" x14ac:dyDescent="0.25">
      <c r="A108" s="9" t="str">
        <f>Plantilla!B107</f>
        <v>ZONA ROMA</v>
      </c>
      <c r="B108" s="14">
        <f>Plantilla!E107</f>
        <v>46050.409722222219</v>
      </c>
      <c r="C108" s="10" t="str">
        <f>Plantilla!D107</f>
        <v>Duresa</v>
      </c>
      <c r="D108" s="10" t="str">
        <f>Plantilla!F107</f>
        <v>365.1</v>
      </c>
      <c r="E108" s="10" t="str">
        <f>Plantilla!G107</f>
        <v>mg/L CaCo3</v>
      </c>
      <c r="G108" s="10">
        <f>Plantilla!I107</f>
        <v>500</v>
      </c>
    </row>
    <row r="109" spans="1:7" x14ac:dyDescent="0.25">
      <c r="A109" s="9" t="str">
        <f>Plantilla!B108</f>
        <v>ZONA ROMA</v>
      </c>
      <c r="B109" s="14">
        <f>Plantilla!E108</f>
        <v>46050.409722222219</v>
      </c>
      <c r="C109" s="10" t="str">
        <f>Plantilla!D108</f>
        <v>Clorurs</v>
      </c>
      <c r="D109" s="10" t="str">
        <f>Plantilla!F108</f>
        <v>175.2</v>
      </c>
      <c r="E109" s="10" t="str">
        <f>Plantilla!G108</f>
        <v>mg/L CaCo3</v>
      </c>
      <c r="G109" s="10">
        <f>Plantilla!I108</f>
        <v>250</v>
      </c>
    </row>
    <row r="110" spans="1:7" x14ac:dyDescent="0.25">
      <c r="A110" s="9" t="str">
        <f>Plantilla!B109</f>
        <v>ZONA ROMA</v>
      </c>
      <c r="B110" s="14">
        <f>Plantilla!E109</f>
        <v>46050.409722222219</v>
      </c>
      <c r="C110" s="10" t="str">
        <f>Plantilla!D109</f>
        <v>Nitrats</v>
      </c>
      <c r="D110" s="10" t="str">
        <f>Plantilla!F109</f>
        <v>11.1</v>
      </c>
      <c r="E110" s="10" t="str">
        <f>Plantilla!G109</f>
        <v>mg/L CaCo3</v>
      </c>
      <c r="G110" s="10">
        <f>Plantilla!I109</f>
        <v>50</v>
      </c>
    </row>
    <row r="111" spans="1:7" x14ac:dyDescent="0.25">
      <c r="A111" s="9" t="str">
        <f>Plantilla!B110</f>
        <v>ZONA RANXOS</v>
      </c>
      <c r="B111" s="14">
        <f>Plantilla!E110</f>
        <v>46077.486111111109</v>
      </c>
      <c r="C111" s="10" t="str">
        <f>Plantilla!D110</f>
        <v>Microbiologia</v>
      </c>
      <c r="D111" s="10" t="str">
        <f>Plantilla!F110</f>
        <v>Correcte</v>
      </c>
      <c r="E111" s="10" t="str">
        <f>Plantilla!G110</f>
        <v>mg/L CaCo3</v>
      </c>
    </row>
    <row r="112" spans="1:7" x14ac:dyDescent="0.25">
      <c r="A112" s="9" t="str">
        <f>Plantilla!B111</f>
        <v>ZONA RANXOS</v>
      </c>
      <c r="B112" s="14">
        <f>Plantilla!E111</f>
        <v>46077.486111111109</v>
      </c>
      <c r="C112" s="10" t="str">
        <f>Plantilla!D111</f>
        <v>Organolèptic</v>
      </c>
      <c r="D112" s="10" t="str">
        <f>Plantilla!F111</f>
        <v>Correcte</v>
      </c>
      <c r="E112" s="10" t="str">
        <f>Plantilla!G111</f>
        <v>mg/L CaCo3</v>
      </c>
    </row>
    <row r="113" spans="1:7" x14ac:dyDescent="0.25">
      <c r="A113" s="9" t="str">
        <f>Plantilla!B112</f>
        <v>ZONA RANXOS</v>
      </c>
      <c r="B113" s="14">
        <f>Plantilla!E112</f>
        <v>46077.486111111109</v>
      </c>
      <c r="C113" s="10" t="str">
        <f>Plantilla!D112</f>
        <v>pH</v>
      </c>
      <c r="D113" s="10" t="str">
        <f>Plantilla!F112</f>
        <v>7.4</v>
      </c>
      <c r="E113" s="10" t="str">
        <f>Plantilla!G112</f>
        <v>mg/L CaCo3</v>
      </c>
      <c r="F113" s="10">
        <f>Plantilla!H112</f>
        <v>6.9</v>
      </c>
      <c r="G113" s="10">
        <f>Plantilla!I112</f>
        <v>9.5</v>
      </c>
    </row>
    <row r="114" spans="1:7" x14ac:dyDescent="0.25">
      <c r="A114" s="9" t="str">
        <f>Plantilla!B113</f>
        <v>ZONA RANXOS</v>
      </c>
      <c r="B114" s="14">
        <f>Plantilla!E113</f>
        <v>46077.486111111109</v>
      </c>
      <c r="C114" s="10" t="str">
        <f>Plantilla!D113</f>
        <v>Conductivitat</v>
      </c>
      <c r="D114" s="10">
        <f>Plantilla!F113</f>
        <v>1373</v>
      </c>
      <c r="E114" s="10" t="str">
        <f>Plantilla!G113</f>
        <v>mg/L CaCo3</v>
      </c>
      <c r="G114" s="10">
        <f>Plantilla!I113</f>
        <v>2500</v>
      </c>
    </row>
    <row r="115" spans="1:7" x14ac:dyDescent="0.25">
      <c r="A115" s="9" t="str">
        <f>Plantilla!B114</f>
        <v>ZONA RANXOS</v>
      </c>
      <c r="B115" s="14">
        <f>Plantilla!E114</f>
        <v>46077.486111111109</v>
      </c>
      <c r="C115" s="10" t="str">
        <f>Plantilla!D114</f>
        <v>Terbolesa</v>
      </c>
      <c r="D115" s="10" t="str">
        <f>Plantilla!F114</f>
        <v>0.40</v>
      </c>
      <c r="E115" s="10" t="str">
        <f>Plantilla!G114</f>
        <v>mg/L CaCo3</v>
      </c>
      <c r="G115" s="10">
        <f>Plantilla!I114</f>
        <v>5</v>
      </c>
    </row>
    <row r="116" spans="1:7" x14ac:dyDescent="0.25">
      <c r="A116" s="9" t="str">
        <f>Plantilla!B115</f>
        <v>ZONA RANXOS</v>
      </c>
      <c r="B116" s="14">
        <f>Plantilla!E115</f>
        <v>46077.486111111109</v>
      </c>
      <c r="C116" s="10" t="str">
        <f>Plantilla!D115</f>
        <v>Clor lliure</v>
      </c>
      <c r="D116" s="10" t="str">
        <f>Plantilla!F115</f>
        <v>0.28</v>
      </c>
      <c r="E116" s="10" t="str">
        <f>Plantilla!G115</f>
        <v>mg/L CaCo3</v>
      </c>
      <c r="G116" s="10">
        <f>Plantilla!I115</f>
        <v>1</v>
      </c>
    </row>
    <row r="117" spans="1:7" x14ac:dyDescent="0.25">
      <c r="A117" s="9" t="str">
        <f>Plantilla!B116</f>
        <v>ZONA RANXOS</v>
      </c>
      <c r="B117" s="14">
        <f>Plantilla!E116</f>
        <v>45930</v>
      </c>
      <c r="C117" s="10" t="str">
        <f>Plantilla!D116</f>
        <v>Duresa</v>
      </c>
      <c r="D117" s="10" t="str">
        <f>Plantilla!F116</f>
        <v>453.6</v>
      </c>
      <c r="E117" s="10" t="str">
        <f>Plantilla!G116</f>
        <v>mg/L CaCo3</v>
      </c>
      <c r="G117" s="10">
        <f>Plantilla!I116</f>
        <v>500</v>
      </c>
    </row>
    <row r="118" spans="1:7" x14ac:dyDescent="0.25">
      <c r="A118" s="9" t="str">
        <f>Plantilla!B117</f>
        <v>ZONA RANXOS</v>
      </c>
      <c r="B118" s="14">
        <f>Plantilla!E117</f>
        <v>46099</v>
      </c>
      <c r="C118" s="10" t="str">
        <f>Plantilla!D117</f>
        <v>Clorurs</v>
      </c>
      <c r="D118" s="10" t="str">
        <f>Plantilla!F117</f>
        <v>684.8</v>
      </c>
      <c r="E118" s="10" t="str">
        <f>Plantilla!G117</f>
        <v>mg/L CaCo3</v>
      </c>
      <c r="G118" s="10">
        <f>Plantilla!I117</f>
        <v>250</v>
      </c>
    </row>
    <row r="119" spans="1:7" x14ac:dyDescent="0.25">
      <c r="A119" s="9" t="str">
        <f>Plantilla!B118</f>
        <v>ZONA RANXOS</v>
      </c>
      <c r="B119" s="14">
        <f>Plantilla!E118</f>
        <v>46099</v>
      </c>
      <c r="C119" s="10" t="str">
        <f>Plantilla!D118</f>
        <v>Nitrats</v>
      </c>
      <c r="D119" s="10" t="str">
        <f>Plantilla!F118</f>
        <v>10.4</v>
      </c>
      <c r="E119" s="10" t="str">
        <f>Plantilla!G118</f>
        <v>mg/L CaCo3</v>
      </c>
      <c r="G119" s="10">
        <f>Plantilla!I118</f>
        <v>50</v>
      </c>
    </row>
    <row r="120" spans="1:7" x14ac:dyDescent="0.25">
      <c r="A120" s="9" t="str">
        <f>Plantilla!B119</f>
        <v>ZONA BONMONT</v>
      </c>
      <c r="B120" s="14">
        <f>Plantilla!E119</f>
        <v>46106.4375</v>
      </c>
      <c r="C120" s="10" t="str">
        <f>Plantilla!D119</f>
        <v>Microbiologia</v>
      </c>
      <c r="D120" s="10" t="str">
        <f>Plantilla!F119</f>
        <v>Correcte</v>
      </c>
      <c r="E120" s="10" t="str">
        <f>Plantilla!G119</f>
        <v>mg/L CaCo3</v>
      </c>
    </row>
    <row r="121" spans="1:7" x14ac:dyDescent="0.25">
      <c r="A121" s="9" t="str">
        <f>Plantilla!B120</f>
        <v>ZONA BONMONT</v>
      </c>
      <c r="B121" s="14">
        <f>Plantilla!E120</f>
        <v>46106.4375</v>
      </c>
      <c r="C121" s="10" t="str">
        <f>Plantilla!D120</f>
        <v>Organolèptic</v>
      </c>
      <c r="D121" s="10" t="str">
        <f>Plantilla!F120</f>
        <v>Correcte</v>
      </c>
      <c r="E121" s="10" t="str">
        <f>Plantilla!G120</f>
        <v>mg/L CaCo3</v>
      </c>
    </row>
    <row r="122" spans="1:7" x14ac:dyDescent="0.25">
      <c r="A122" s="9" t="str">
        <f>Plantilla!B121</f>
        <v>ZONA BONMONT</v>
      </c>
      <c r="B122" s="14">
        <f>Plantilla!E121</f>
        <v>46106.4375</v>
      </c>
      <c r="C122" s="10" t="str">
        <f>Plantilla!D121</f>
        <v>pH</v>
      </c>
      <c r="D122" s="10" t="str">
        <f>Plantilla!F121</f>
        <v>7.8</v>
      </c>
      <c r="E122" s="10" t="str">
        <f>Plantilla!G121</f>
        <v>mg/L CaCo3</v>
      </c>
      <c r="F122" s="10">
        <f>Plantilla!H121</f>
        <v>6.9</v>
      </c>
      <c r="G122" s="10">
        <f>Plantilla!I121</f>
        <v>9.5</v>
      </c>
    </row>
    <row r="123" spans="1:7" x14ac:dyDescent="0.25">
      <c r="A123" s="9" t="str">
        <f>Plantilla!B122</f>
        <v>ZONA BONMONT</v>
      </c>
      <c r="B123" s="14">
        <f>Plantilla!E122</f>
        <v>46106.4375</v>
      </c>
      <c r="C123" s="10" t="str">
        <f>Plantilla!D122</f>
        <v>Conductivitat</v>
      </c>
      <c r="D123" s="10">
        <f>Plantilla!F122</f>
        <v>563</v>
      </c>
      <c r="E123" s="10" t="str">
        <f>Plantilla!G122</f>
        <v>mg/L CaCo3</v>
      </c>
      <c r="G123" s="10">
        <f>Plantilla!I122</f>
        <v>2500</v>
      </c>
    </row>
    <row r="124" spans="1:7" x14ac:dyDescent="0.25">
      <c r="A124" s="9" t="str">
        <f>Plantilla!B123</f>
        <v>ZONA BONMONT</v>
      </c>
      <c r="B124" s="14">
        <f>Plantilla!E123</f>
        <v>46106.4375</v>
      </c>
      <c r="C124" s="10" t="str">
        <f>Plantilla!D123</f>
        <v>Terbolesa</v>
      </c>
      <c r="D124" s="10" t="str">
        <f>Plantilla!F123</f>
        <v>&lt; 0.20</v>
      </c>
      <c r="E124" s="10" t="str">
        <f>Plantilla!G123</f>
        <v>mg/L CaCo3</v>
      </c>
      <c r="G124" s="10">
        <f>Plantilla!I123</f>
        <v>5</v>
      </c>
    </row>
    <row r="125" spans="1:7" x14ac:dyDescent="0.25">
      <c r="A125" s="9" t="str">
        <f>Plantilla!B124</f>
        <v>ZONA BONMONT</v>
      </c>
      <c r="B125" s="14">
        <f>Plantilla!E124</f>
        <v>46106.4375</v>
      </c>
      <c r="C125" s="10" t="str">
        <f>Plantilla!D124</f>
        <v>Clor lliure</v>
      </c>
      <c r="D125" s="10" t="str">
        <f>Plantilla!F124</f>
        <v>0.76</v>
      </c>
      <c r="E125" s="10" t="str">
        <f>Plantilla!G124</f>
        <v>mg/L CaCo3</v>
      </c>
      <c r="G125" s="10">
        <f>Plantilla!I124</f>
        <v>1</v>
      </c>
    </row>
    <row r="126" spans="1:7" x14ac:dyDescent="0.25">
      <c r="A126" s="9" t="str">
        <f>Plantilla!B125</f>
        <v>ZONA BONMONT</v>
      </c>
      <c r="B126" s="14">
        <f>Plantilla!E125</f>
        <v>45959</v>
      </c>
      <c r="C126" s="10" t="str">
        <f>Plantilla!D125</f>
        <v>Duresa</v>
      </c>
      <c r="D126" s="10" t="str">
        <f>Plantilla!F125</f>
        <v xml:space="preserve">	293.4</v>
      </c>
      <c r="E126" s="10" t="str">
        <f>Plantilla!G125</f>
        <v>mg/L CaCo3</v>
      </c>
      <c r="G126" s="10">
        <f>Plantilla!I125</f>
        <v>500</v>
      </c>
    </row>
    <row r="127" spans="1:7" x14ac:dyDescent="0.25">
      <c r="A127" s="9" t="str">
        <f>Plantilla!B126</f>
        <v>ZONA BONMONT</v>
      </c>
      <c r="B127" s="14">
        <f>Plantilla!E126</f>
        <v>46099</v>
      </c>
      <c r="C127" s="10" t="str">
        <f>Plantilla!D126</f>
        <v>Clorurs</v>
      </c>
      <c r="D127" s="10" t="str">
        <f>Plantilla!F126</f>
        <v>32.0</v>
      </c>
      <c r="E127" s="10" t="str">
        <f>Plantilla!G126</f>
        <v>mg/L CaCo3</v>
      </c>
      <c r="G127" s="10">
        <f>Plantilla!I126</f>
        <v>250</v>
      </c>
    </row>
    <row r="128" spans="1:7" x14ac:dyDescent="0.25">
      <c r="A128" s="9" t="str">
        <f>Plantilla!B127</f>
        <v>ZONA BONMONT</v>
      </c>
      <c r="B128" s="14">
        <f>Plantilla!E127</f>
        <v>46099</v>
      </c>
      <c r="C128" s="10" t="str">
        <f>Plantilla!D127</f>
        <v>Nitrats</v>
      </c>
      <c r="D128" s="10" t="str">
        <f>Plantilla!F127</f>
        <v>7.9</v>
      </c>
      <c r="E128" s="10" t="str">
        <f>Plantilla!G127</f>
        <v>mg/L CaCo3</v>
      </c>
      <c r="G128" s="10">
        <f>Plantilla!I127</f>
        <v>50</v>
      </c>
    </row>
    <row r="129" spans="1:7" x14ac:dyDescent="0.25">
      <c r="A129" s="9" t="str">
        <f>Plantilla!B128</f>
        <v>ZONA VIA MARINA</v>
      </c>
      <c r="B129" s="14">
        <f>Plantilla!E128</f>
        <v>46104.322916666664</v>
      </c>
      <c r="C129" s="10" t="str">
        <f>Plantilla!D128</f>
        <v>Microbiologia</v>
      </c>
      <c r="D129" s="10" t="str">
        <f>Plantilla!F128</f>
        <v>Correcte</v>
      </c>
      <c r="E129" s="10" t="str">
        <f>Plantilla!G128</f>
        <v>mg/L CaCo3</v>
      </c>
    </row>
    <row r="130" spans="1:7" x14ac:dyDescent="0.25">
      <c r="A130" s="9" t="str">
        <f>Plantilla!B129</f>
        <v>ZONA VIA MARINA</v>
      </c>
      <c r="B130" s="14">
        <f>Plantilla!E129</f>
        <v>46104.322916666664</v>
      </c>
      <c r="C130" s="10" t="str">
        <f>Plantilla!D129</f>
        <v>Organolèptic</v>
      </c>
      <c r="D130" s="10" t="str">
        <f>Plantilla!F129</f>
        <v>Correcte</v>
      </c>
      <c r="E130" s="10" t="str">
        <f>Plantilla!G129</f>
        <v>mg/L CaCo3</v>
      </c>
    </row>
    <row r="131" spans="1:7" x14ac:dyDescent="0.25">
      <c r="A131" s="9" t="str">
        <f>Plantilla!B130</f>
        <v>ZONA VIA MARINA</v>
      </c>
      <c r="B131" s="14">
        <f>Plantilla!E130</f>
        <v>46104.322916666664</v>
      </c>
      <c r="C131" s="10" t="str">
        <f>Plantilla!D130</f>
        <v>pH</v>
      </c>
      <c r="D131" s="10" t="str">
        <f>Plantilla!F130</f>
        <v>7.8</v>
      </c>
      <c r="E131" s="10" t="str">
        <f>Plantilla!G130</f>
        <v>mg/L CaCo3</v>
      </c>
      <c r="F131" s="10">
        <f>Plantilla!H130</f>
        <v>6.9</v>
      </c>
      <c r="G131" s="10">
        <f>Plantilla!I130</f>
        <v>9.5</v>
      </c>
    </row>
    <row r="132" spans="1:7" x14ac:dyDescent="0.25">
      <c r="A132" s="9" t="str">
        <f>Plantilla!B131</f>
        <v>ZONA VIA MARINA</v>
      </c>
      <c r="B132" s="14">
        <f>Plantilla!E131</f>
        <v>46104.322916666664</v>
      </c>
      <c r="C132" s="10" t="str">
        <f>Plantilla!D131</f>
        <v>Conductivitat</v>
      </c>
      <c r="D132" s="10" t="str">
        <f>Plantilla!F131</f>
        <v>617</v>
      </c>
      <c r="E132" s="10" t="str">
        <f>Plantilla!G131</f>
        <v>mg/L CaCo3</v>
      </c>
      <c r="G132" s="10">
        <f>Plantilla!I131</f>
        <v>2500</v>
      </c>
    </row>
    <row r="133" spans="1:7" x14ac:dyDescent="0.25">
      <c r="A133" s="9" t="str">
        <f>Plantilla!B132</f>
        <v>ZONA VIA MARINA</v>
      </c>
      <c r="B133" s="14">
        <f>Plantilla!E132</f>
        <v>46104.322916666664</v>
      </c>
      <c r="C133" s="10" t="str">
        <f>Plantilla!D132</f>
        <v>Terbolesa</v>
      </c>
      <c r="D133" s="10" t="str">
        <f>Plantilla!F132</f>
        <v>&lt; 0.20</v>
      </c>
      <c r="E133" s="10" t="str">
        <f>Plantilla!G132</f>
        <v>mg/L CaCo3</v>
      </c>
      <c r="G133" s="10">
        <f>Plantilla!I132</f>
        <v>5</v>
      </c>
    </row>
    <row r="134" spans="1:7" x14ac:dyDescent="0.25">
      <c r="A134" s="9" t="str">
        <f>Plantilla!B133</f>
        <v>ZONA VIA MARINA</v>
      </c>
      <c r="B134" s="14">
        <f>Plantilla!E133</f>
        <v>46104.322916666664</v>
      </c>
      <c r="C134" s="10" t="str">
        <f>Plantilla!D133</f>
        <v>Clor lliure</v>
      </c>
      <c r="D134" s="10" t="str">
        <f>Plantilla!F133</f>
        <v>0.68</v>
      </c>
      <c r="E134" s="10" t="str">
        <f>Plantilla!G133</f>
        <v>mg/L CaCo3</v>
      </c>
      <c r="G134" s="10">
        <f>Plantilla!I133</f>
        <v>1</v>
      </c>
    </row>
    <row r="135" spans="1:7" x14ac:dyDescent="0.25">
      <c r="A135" s="9" t="str">
        <f>Plantilla!B134</f>
        <v>ZONA VIA MARINA</v>
      </c>
      <c r="B135" s="14">
        <f>Plantilla!E134</f>
        <v>46071.385416666664</v>
      </c>
      <c r="C135" s="10" t="str">
        <f>Plantilla!D134</f>
        <v>Duresa</v>
      </c>
      <c r="D135" s="10" t="str">
        <f>Plantilla!F134</f>
        <v>419.3</v>
      </c>
      <c r="E135" s="10" t="str">
        <f>Plantilla!G134</f>
        <v>mg/L CaCo3</v>
      </c>
      <c r="G135" s="10">
        <f>Plantilla!I134</f>
        <v>500</v>
      </c>
    </row>
    <row r="136" spans="1:7" x14ac:dyDescent="0.25">
      <c r="A136" s="9" t="str">
        <f>Plantilla!B135</f>
        <v>ZONA VIA MARINA</v>
      </c>
      <c r="B136" s="14">
        <f>Plantilla!E135</f>
        <v>46071.385416666664</v>
      </c>
      <c r="C136" s="10" t="str">
        <f>Plantilla!D135</f>
        <v>Clorurs</v>
      </c>
      <c r="D136" s="10" t="str">
        <f>Plantilla!F135</f>
        <v>138.26</v>
      </c>
      <c r="E136" s="10" t="str">
        <f>Plantilla!G135</f>
        <v>mg/L</v>
      </c>
      <c r="G136" s="10">
        <f>Plantilla!I135</f>
        <v>250</v>
      </c>
    </row>
    <row r="137" spans="1:7" x14ac:dyDescent="0.25">
      <c r="A137" s="9" t="str">
        <f>Plantilla!B136</f>
        <v>ZONA VIA MARINA</v>
      </c>
      <c r="B137" s="14">
        <f>Plantilla!E136</f>
        <v>46071.385416666664</v>
      </c>
      <c r="C137" s="10" t="str">
        <f>Plantilla!D136</f>
        <v>Nitrats</v>
      </c>
      <c r="D137" s="10" t="str">
        <f>Plantilla!F136</f>
        <v>15.87</v>
      </c>
      <c r="E137" s="10" t="str">
        <f>Plantilla!G136</f>
        <v>mg/L</v>
      </c>
      <c r="G137" s="10">
        <f>Plantilla!I136</f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F20" sqref="F20"/>
    </sheetView>
  </sheetViews>
  <sheetFormatPr baseColWidth="10" defaultColWidth="9" defaultRowHeight="15" x14ac:dyDescent="0.25"/>
  <cols>
    <col min="1" max="1" width="45.375" customWidth="1"/>
    <col min="2" max="2" width="14.875" customWidth="1"/>
    <col min="3" max="3" width="11.25" customWidth="1"/>
    <col min="4" max="4" width="15.75" customWidth="1"/>
    <col min="5" max="5" width="0" hidden="1" customWidth="1"/>
    <col min="6" max="6" width="14.875" customWidth="1"/>
    <col min="7" max="7" width="22.625" customWidth="1"/>
    <col min="8" max="8" width="12.75" customWidth="1"/>
    <col min="9" max="9" width="13.125" customWidth="1"/>
  </cols>
  <sheetData>
    <row r="1" spans="1:9" x14ac:dyDescent="0.25">
      <c r="A1" s="2" t="s">
        <v>142</v>
      </c>
      <c r="B1" s="2" t="s">
        <v>143</v>
      </c>
      <c r="C1" s="2" t="s">
        <v>144</v>
      </c>
      <c r="D1" s="2" t="s">
        <v>145</v>
      </c>
      <c r="E1" s="1"/>
      <c r="F1" s="2" t="s">
        <v>143</v>
      </c>
      <c r="G1" s="2" t="s">
        <v>146</v>
      </c>
      <c r="H1" s="2" t="s">
        <v>147</v>
      </c>
      <c r="I1" s="2" t="s">
        <v>148</v>
      </c>
    </row>
    <row r="2" spans="1:9" x14ac:dyDescent="0.25">
      <c r="A2" t="s">
        <v>14</v>
      </c>
      <c r="B2" t="s">
        <v>15</v>
      </c>
      <c r="C2" s="6" t="s">
        <v>19</v>
      </c>
      <c r="D2">
        <v>1</v>
      </c>
      <c r="F2" t="s">
        <v>15</v>
      </c>
      <c r="G2" t="s">
        <v>17</v>
      </c>
    </row>
    <row r="3" spans="1:9" x14ac:dyDescent="0.25">
      <c r="A3" t="s">
        <v>42</v>
      </c>
      <c r="B3" t="s">
        <v>22</v>
      </c>
      <c r="C3" s="6" t="s">
        <v>53</v>
      </c>
      <c r="D3">
        <v>2</v>
      </c>
      <c r="F3" t="s">
        <v>22</v>
      </c>
      <c r="G3" t="s">
        <v>17</v>
      </c>
    </row>
    <row r="4" spans="1:9" x14ac:dyDescent="0.25">
      <c r="A4" t="s">
        <v>51</v>
      </c>
      <c r="B4" t="s">
        <v>23</v>
      </c>
      <c r="C4" s="6" t="s">
        <v>59</v>
      </c>
      <c r="D4">
        <v>3</v>
      </c>
      <c r="F4" t="s">
        <v>23</v>
      </c>
      <c r="G4" t="s">
        <v>149</v>
      </c>
      <c r="H4">
        <v>6.9</v>
      </c>
      <c r="I4">
        <v>9.5</v>
      </c>
    </row>
    <row r="5" spans="1:9" x14ac:dyDescent="0.25">
      <c r="A5" t="s">
        <v>61</v>
      </c>
      <c r="B5" t="s">
        <v>26</v>
      </c>
      <c r="C5" s="6" t="s">
        <v>154</v>
      </c>
      <c r="D5">
        <v>4</v>
      </c>
      <c r="F5" t="s">
        <v>26</v>
      </c>
      <c r="G5" t="s">
        <v>28</v>
      </c>
      <c r="I5">
        <v>2500</v>
      </c>
    </row>
    <row r="6" spans="1:9" x14ac:dyDescent="0.25">
      <c r="A6" t="s">
        <v>68</v>
      </c>
      <c r="B6" t="s">
        <v>29</v>
      </c>
      <c r="F6" t="s">
        <v>29</v>
      </c>
      <c r="G6" t="s">
        <v>150</v>
      </c>
      <c r="I6">
        <v>5</v>
      </c>
    </row>
    <row r="7" spans="1:9" x14ac:dyDescent="0.25">
      <c r="A7" t="s">
        <v>76</v>
      </c>
      <c r="B7" t="s">
        <v>32</v>
      </c>
      <c r="F7" t="s">
        <v>32</v>
      </c>
      <c r="G7" t="s">
        <v>34</v>
      </c>
      <c r="I7">
        <v>1</v>
      </c>
    </row>
    <row r="8" spans="1:9" x14ac:dyDescent="0.25">
      <c r="A8" t="s">
        <v>84</v>
      </c>
      <c r="B8" t="s">
        <v>35</v>
      </c>
      <c r="F8" t="s">
        <v>35</v>
      </c>
      <c r="G8" s="6" t="s">
        <v>161</v>
      </c>
      <c r="I8">
        <v>500</v>
      </c>
    </row>
    <row r="9" spans="1:9" x14ac:dyDescent="0.25">
      <c r="A9" t="s">
        <v>90</v>
      </c>
      <c r="B9" t="s">
        <v>38</v>
      </c>
      <c r="F9" t="s">
        <v>38</v>
      </c>
      <c r="G9" t="s">
        <v>34</v>
      </c>
      <c r="I9">
        <v>250</v>
      </c>
    </row>
    <row r="10" spans="1:9" x14ac:dyDescent="0.25">
      <c r="A10" t="s">
        <v>97</v>
      </c>
      <c r="B10" t="s">
        <v>40</v>
      </c>
      <c r="F10" t="s">
        <v>40</v>
      </c>
      <c r="G10" t="s">
        <v>34</v>
      </c>
      <c r="I10">
        <v>50</v>
      </c>
    </row>
    <row r="11" spans="1:9" x14ac:dyDescent="0.25">
      <c r="A11" t="s">
        <v>104</v>
      </c>
    </row>
    <row r="12" spans="1:9" x14ac:dyDescent="0.25">
      <c r="A12" t="s">
        <v>111</v>
      </c>
    </row>
    <row r="13" spans="1:9" x14ac:dyDescent="0.25">
      <c r="A13" t="s">
        <v>117</v>
      </c>
    </row>
    <row r="14" spans="1:9" x14ac:dyDescent="0.25">
      <c r="A14" t="s">
        <v>123</v>
      </c>
    </row>
    <row r="15" spans="1:9" x14ac:dyDescent="0.25">
      <c r="A15" t="s">
        <v>129</v>
      </c>
    </row>
    <row r="16" spans="1:9" x14ac:dyDescent="0.25">
      <c r="A1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resultats 15042026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García Fernández</cp:lastModifiedBy>
  <dcterms:created xsi:type="dcterms:W3CDTF">2026-04-15T08:41:30Z</dcterms:created>
  <dcterms:modified xsi:type="dcterms:W3CDTF">2026-04-15T10:19:15Z</dcterms:modified>
</cp:coreProperties>
</file>